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mber Data" sheetId="1" state="visible" r:id="rId3"/>
    <sheet name="Task 1 - Duration" sheetId="2" state="visible" r:id="rId4"/>
    <sheet name="Task 2 - Referral" sheetId="3" state="visible" r:id="rId5"/>
    <sheet name="Task 3 - Revenue" sheetId="4" state="visible" r:id="rId6"/>
    <sheet name="Task 4 - Low Engagement" sheetId="5" state="visible" r:id="rId7"/>
    <sheet name="Task 5 - Dashboard" sheetId="6" state="visible" r:id="rId8"/>
    <sheet name="Task 6 - Gender &amp; Age" sheetId="7" state="visible" r:id="rId9"/>
    <sheet name="📖 Formula Guide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<sst xmlns="http://schemas.openxmlformats.org/spreadsheetml/2006/main" count="893" uniqueCount="206">
  <si>
    <t xml:space="preserve">Member_ID</t>
  </si>
  <si>
    <t xml:space="preserve">Full_Name</t>
  </si>
  <si>
    <t xml:space="preserve">Age</t>
  </si>
  <si>
    <t xml:space="preserve">Gender</t>
  </si>
  <si>
    <t xml:space="preserve">Membership_Type</t>
  </si>
  <si>
    <t xml:space="preserve">Start_Date</t>
  </si>
  <si>
    <t xml:space="preserve">End_Date</t>
  </si>
  <si>
    <t xml:space="preserve">Monthly_Fee</t>
  </si>
  <si>
    <t xml:space="preserve">Attendance</t>
  </si>
  <si>
    <t xml:space="preserve">City</t>
  </si>
  <si>
    <t xml:space="preserve">Referred_By</t>
  </si>
  <si>
    <t xml:space="preserve">Membership_Duration_Months</t>
  </si>
  <si>
    <t xml:space="preserve">Referred</t>
  </si>
  <si>
    <t xml:space="preserve">Total_Revenue</t>
  </si>
  <si>
    <t xml:space="preserve">Age_Group</t>
  </si>
  <si>
    <t xml:space="preserve">M001</t>
  </si>
  <si>
    <t xml:space="preserve">Anay Shanker</t>
  </si>
  <si>
    <t xml:space="preserve">Male</t>
  </si>
  <si>
    <t xml:space="preserve">Basic</t>
  </si>
  <si>
    <t xml:space="preserve">Bengaluru</t>
  </si>
  <si>
    <t xml:space="preserve">Hiran Shan</t>
  </si>
  <si>
    <t xml:space="preserve">M002</t>
  </si>
  <si>
    <t xml:space="preserve">Parinaaz Shanker</t>
  </si>
  <si>
    <t xml:space="preserve">Pune</t>
  </si>
  <si>
    <t xml:space="preserve">Kiara Kakar</t>
  </si>
  <si>
    <t xml:space="preserve">M003</t>
  </si>
  <si>
    <t xml:space="preserve">Aniruddh Batra</t>
  </si>
  <si>
    <t xml:space="preserve">Standard</t>
  </si>
  <si>
    <t xml:space="preserve">Hyderabad</t>
  </si>
  <si>
    <t xml:space="preserve">Jhanvi Chaudhary</t>
  </si>
  <si>
    <t xml:space="preserve">M004</t>
  </si>
  <si>
    <t xml:space="preserve">Madhup Kapur</t>
  </si>
  <si>
    <t xml:space="preserve">Female</t>
  </si>
  <si>
    <t xml:space="preserve">Tara Swaminathan</t>
  </si>
  <si>
    <t xml:space="preserve">M005</t>
  </si>
  <si>
    <t xml:space="preserve">Rasha Kakar</t>
  </si>
  <si>
    <t xml:space="preserve">Family</t>
  </si>
  <si>
    <t xml:space="preserve">Madhav Singh</t>
  </si>
  <si>
    <t xml:space="preserve">M006</t>
  </si>
  <si>
    <t xml:space="preserve">Ehsaan Batra</t>
  </si>
  <si>
    <t xml:space="preserve">Mumbai</t>
  </si>
  <si>
    <t xml:space="preserve">Shray Ramakrishnan</t>
  </si>
  <si>
    <t xml:space="preserve">M007</t>
  </si>
  <si>
    <t xml:space="preserve">Zara Bains</t>
  </si>
  <si>
    <t xml:space="preserve">M008</t>
  </si>
  <si>
    <t xml:space="preserve">Uthkarsh Baral</t>
  </si>
  <si>
    <t xml:space="preserve">Premium</t>
  </si>
  <si>
    <t xml:space="preserve">Kolkata</t>
  </si>
  <si>
    <t xml:space="preserve">M009</t>
  </si>
  <si>
    <t xml:space="preserve">Kashvi Char</t>
  </si>
  <si>
    <t xml:space="preserve">Nitara Comar</t>
  </si>
  <si>
    <t xml:space="preserve">M010</t>
  </si>
  <si>
    <t xml:space="preserve">Dhanush Varma</t>
  </si>
  <si>
    <t xml:space="preserve">Ranbir Karan</t>
  </si>
  <si>
    <t xml:space="preserve">M011</t>
  </si>
  <si>
    <t xml:space="preserve">Ishaan Goyal</t>
  </si>
  <si>
    <t xml:space="preserve">Rati Sanghvi</t>
  </si>
  <si>
    <t xml:space="preserve">M012</t>
  </si>
  <si>
    <t xml:space="preserve">Mahika Ravi</t>
  </si>
  <si>
    <t xml:space="preserve">Ishaan Kashyap</t>
  </si>
  <si>
    <t xml:space="preserve">M013</t>
  </si>
  <si>
    <t xml:space="preserve">Purab Reddy</t>
  </si>
  <si>
    <t xml:space="preserve">M014</t>
  </si>
  <si>
    <t xml:space="preserve">Tiya Soni</t>
  </si>
  <si>
    <t xml:space="preserve">M015</t>
  </si>
  <si>
    <t xml:space="preserve">Zara Dugar</t>
  </si>
  <si>
    <t xml:space="preserve">M016</t>
  </si>
  <si>
    <t xml:space="preserve">Lakshit Mander</t>
  </si>
  <si>
    <t xml:space="preserve">M017</t>
  </si>
  <si>
    <t xml:space="preserve">Neysa Krish</t>
  </si>
  <si>
    <t xml:space="preserve">M018</t>
  </si>
  <si>
    <t xml:space="preserve">Prerak Boase</t>
  </si>
  <si>
    <t xml:space="preserve">Delhi</t>
  </si>
  <si>
    <t xml:space="preserve">M019</t>
  </si>
  <si>
    <t xml:space="preserve">Siya Master</t>
  </si>
  <si>
    <t xml:space="preserve">M020</t>
  </si>
  <si>
    <t xml:space="preserve">Madhup Biswas</t>
  </si>
  <si>
    <t xml:space="preserve">Tanya Bajwa</t>
  </si>
  <si>
    <t xml:space="preserve">M021</t>
  </si>
  <si>
    <t xml:space="preserve">Indrans Ratti</t>
  </si>
  <si>
    <t xml:space="preserve">M022</t>
  </si>
  <si>
    <t xml:space="preserve">Kimaya Balay</t>
  </si>
  <si>
    <t xml:space="preserve">M023</t>
  </si>
  <si>
    <t xml:space="preserve">Eva Dass</t>
  </si>
  <si>
    <t xml:space="preserve">M024</t>
  </si>
  <si>
    <t xml:space="preserve">Pihu Wali</t>
  </si>
  <si>
    <t xml:space="preserve">M025</t>
  </si>
  <si>
    <t xml:space="preserve">Tiya Rege</t>
  </si>
  <si>
    <t xml:space="preserve">Adira Brar</t>
  </si>
  <si>
    <t xml:space="preserve">M026</t>
  </si>
  <si>
    <t xml:space="preserve">Aarav Sen</t>
  </si>
  <si>
    <t xml:space="preserve">M027</t>
  </si>
  <si>
    <t xml:space="preserve">Dishani Bera</t>
  </si>
  <si>
    <t xml:space="preserve">M028</t>
  </si>
  <si>
    <t xml:space="preserve">Indrans Grover</t>
  </si>
  <si>
    <t xml:space="preserve">M029</t>
  </si>
  <si>
    <t xml:space="preserve">Kismat Edwin</t>
  </si>
  <si>
    <t xml:space="preserve">M030</t>
  </si>
  <si>
    <t xml:space="preserve">Taran Vyas</t>
  </si>
  <si>
    <t xml:space="preserve">Nakul Balakrishnan</t>
  </si>
  <si>
    <t xml:space="preserve">M031</t>
  </si>
  <si>
    <t xml:space="preserve">Jiya Baral</t>
  </si>
  <si>
    <t xml:space="preserve">Darshit Sidhu</t>
  </si>
  <si>
    <t xml:space="preserve">M032</t>
  </si>
  <si>
    <t xml:space="preserve">Gokul Sahni</t>
  </si>
  <si>
    <t xml:space="preserve">M033</t>
  </si>
  <si>
    <t xml:space="preserve">Prerak Lalla</t>
  </si>
  <si>
    <t xml:space="preserve">M034</t>
  </si>
  <si>
    <t xml:space="preserve">Hrishita Shroff</t>
  </si>
  <si>
    <t xml:space="preserve">Riya Dugal</t>
  </si>
  <si>
    <t xml:space="preserve">M035</t>
  </si>
  <si>
    <t xml:space="preserve">Oorja Sachar</t>
  </si>
  <si>
    <t xml:space="preserve">🔴 Highlighted rows = Low Engagement Members (Attendance &lt; 8 AND Duration ≥ 6 months)</t>
  </si>
  <si>
    <t xml:space="preserve">📅 TASK 1: Membership Duration in Months</t>
  </si>
  <si>
    <t xml:space="preserve">Formula Used:</t>
  </si>
  <si>
    <t xml:space="preserve">INT((End_Date - Start_Date) / 30)  -- see column D for example</t>
  </si>
  <si>
    <t xml:space="preserve">Logic:</t>
  </si>
  <si>
    <t xml:space="preserve">Subtract Start from End date → get days → divide by 30 → INT gives full months</t>
  </si>
  <si>
    <t xml:space="preserve">Duration (Months)</t>
  </si>
  <si>
    <t xml:space="preserve">👥 TASK 2: Referral Impact Analysis</t>
  </si>
  <si>
    <t xml:space="preserve">Formula:</t>
  </si>
  <si>
    <t xml:space="preserve">IF(Referred_By not blank, Yes, No)</t>
  </si>
  <si>
    <t xml:space="preserve">Referred (Yes/No)</t>
  </si>
  <si>
    <t xml:space="preserve">📊 PIVOT SUMMARY: Avg Monthly Fee by Referral Status</t>
  </si>
  <si>
    <t xml:space="preserve">Referral Status</t>
  </si>
  <si>
    <t xml:space="preserve">Count of Members</t>
  </si>
  <si>
    <t xml:space="preserve">Avg Monthly Fee</t>
  </si>
  <si>
    <t xml:space="preserve">Total Revenue</t>
  </si>
  <si>
    <t xml:space="preserve">Referred (Yes)</t>
  </si>
  <si>
    <t xml:space="preserve">₹1,407</t>
  </si>
  <si>
    <t xml:space="preserve">₹103,900</t>
  </si>
  <si>
    <t xml:space="preserve">Not Referred (No)</t>
  </si>
  <si>
    <t xml:space="preserve">₹1,530</t>
  </si>
  <si>
    <t xml:space="preserve">₹161,300</t>
  </si>
  <si>
    <t xml:space="preserve">💡 Insight: Referred members avg fee = ₹1407 vs Non-referred = ₹1530</t>
  </si>
  <si>
    <t xml:space="preserve">💰 TASK 3: Revenue Calculation &amp; Breakdown</t>
  </si>
  <si>
    <t xml:space="preserve">Total_Revenue = Monthly_Fee × Membership_Duration_Months</t>
  </si>
  <si>
    <t xml:space="preserve">Duration (Mo)</t>
  </si>
  <si>
    <t xml:space="preserve">TOTAL</t>
  </si>
  <si>
    <t xml:space="preserve">📊 Revenue by Membership Type</t>
  </si>
  <si>
    <t xml:space="preserve">🏙️ Revenue by City</t>
  </si>
  <si>
    <t xml:space="preserve">Membership Type</t>
  </si>
  <si>
    <t xml:space="preserve">Members Count</t>
  </si>
  <si>
    <t xml:space="preserve">Members</t>
  </si>
  <si>
    <t xml:space="preserve">⚠️ TASK 4: Low Engagement Members (Flagged)</t>
  </si>
  <si>
    <t xml:space="preserve">Condition:</t>
  </si>
  <si>
    <t xml:space="preserve">Attendance &lt; 8  AND  Membership_Duration_Months &gt;= 6</t>
  </si>
  <si>
    <t xml:space="preserve">Meaning:</t>
  </si>
  <si>
    <t xml:space="preserve">Long-term members who rarely show up – need re-engagement!</t>
  </si>
  <si>
    <t xml:space="preserve">Duration(Mo)</t>
  </si>
  <si>
    <t xml:space="preserve">Status</t>
  </si>
  <si>
    <t xml:space="preserve">✅ Active</t>
  </si>
  <si>
    <t xml:space="preserve">🔴 LOW ENGAGEMENT</t>
  </si>
  <si>
    <t xml:space="preserve">🔴 Total Low Engagement Members: 3  out of  35  members</t>
  </si>
  <si>
    <t xml:space="preserve">📊 SEGMENT PROFITABILITY DASHBOARD – PowerFit India</t>
  </si>
  <si>
    <t xml:space="preserve">City × Membership Type × Referral → Revenue Analysis</t>
  </si>
  <si>
    <t xml:space="preserve">Avg Revenue/Member</t>
  </si>
  <si>
    <t xml:space="preserve">Yes</t>
  </si>
  <si>
    <t xml:space="preserve">No</t>
  </si>
  <si>
    <t xml:space="preserve">🏆 Top 5 Most Profitable Segments</t>
  </si>
  <si>
    <t xml:space="preserve">Rank</t>
  </si>
  <si>
    <t xml:space="preserve">📌 Marketing Recommendations for PowerFit India</t>
  </si>
  <si>
    <t xml:space="preserve">1</t>
  </si>
  <si>
    <t xml:space="preserve">Focus referral programs in top revenue cities: Mumbai, Bengaluru, Delhi</t>
  </si>
  <si>
    <t xml:space="preserve">2</t>
  </si>
  <si>
    <t xml:space="preserve">Premium &amp; Family plans drive highest revenue — upsell Basic/Standard members</t>
  </si>
  <si>
    <t xml:space="preserve">3</t>
  </si>
  <si>
    <t xml:space="preserve">Referred members show higher engagement — increase referral incentives</t>
  </si>
  <si>
    <t xml:space="preserve">4</t>
  </si>
  <si>
    <t xml:space="preserve">Re-engage 3 low engagement members (Attendance&lt;8, Duration≥6mo) via special offers</t>
  </si>
  <si>
    <t xml:space="preserve">👥 TASK 6: Gender &amp; Age Distribution</t>
  </si>
  <si>
    <t xml:space="preserve">📊 Pivot 1: Gender-wise Member Count per City</t>
  </si>
  <si>
    <t xml:space="preserve">Total</t>
  </si>
  <si>
    <t xml:space="preserve">Grand Total</t>
  </si>
  <si>
    <t xml:space="preserve">📊 Pivot 2: Age Group Distribution by Membership Type</t>
  </si>
  <si>
    <t xml:space="preserve">Age Group</t>
  </si>
  <si>
    <t xml:space="preserve">Adults</t>
  </si>
  <si>
    <t xml:space="preserve">Seniors</t>
  </si>
  <si>
    <t xml:space="preserve">Youth</t>
  </si>
  <si>
    <t xml:space="preserve">📌 Age Group Key:</t>
  </si>
  <si>
    <t xml:space="preserve">18-30 = Youth | 31-45 = Adults | 46+ = Seniors</t>
  </si>
  <si>
    <t xml:space="preserve">📖 FORMULA GUIDE – All Formulas Used in This Assignment</t>
  </si>
  <si>
    <t xml:space="preserve">Task / Column</t>
  </si>
  <si>
    <t xml:space="preserve">Excel Formula</t>
  </si>
  <si>
    <t xml:space="preserve">What It Does</t>
  </si>
  <si>
    <t xml:space="preserve">Task 1: Membership_Duration_Months</t>
  </si>
  <si>
    <t xml:space="preserve">Calculates full months between Start and End date (1 month = 30 days)</t>
  </si>
  <si>
    <t xml:space="preserve">Task 2: Referred Column</t>
  </si>
  <si>
    <t xml:space="preserve">Shows "Yes" if Referred_By is not empty, else "No"</t>
  </si>
  <si>
    <t xml:space="preserve">Task 3: Total_Revenue</t>
  </si>
  <si>
    <t xml:space="preserve">Monthly Fee × Duration in Months = Total earned from that member</t>
  </si>
  <si>
    <t xml:space="preserve">Task 3: Sum Premium Revenue</t>
  </si>
  <si>
    <t xml:space="preserve">Adds Total_Revenue only for Premium members</t>
  </si>
  <si>
    <t xml:space="preserve">Task 3: Sum Family Revenue</t>
  </si>
  <si>
    <t xml:space="preserve">Adds Total_Revenue only for Family members</t>
  </si>
  <si>
    <t xml:space="preserve">Task 4: Flag Low Engagement</t>
  </si>
  <si>
    <t xml:space="preserve">TRUE if Attendance&lt;8 AND Duration≥6 months (used in Conditional Formatting)</t>
  </si>
  <si>
    <t xml:space="preserve">Task 6: Age_Group Column</t>
  </si>
  <si>
    <t xml:space="preserve">Nested IF: categorizes age into 3 groups</t>
  </si>
  <si>
    <t xml:space="preserve">Avg of referred fee</t>
  </si>
  <si>
    <t xml:space="preserve">AVERAGEIF(M2:M36,"Yes",H2:H36)</t>
  </si>
  <si>
    <t xml:space="preserve">Average Monthly Fee for referred members only</t>
  </si>
  <si>
    <t xml:space="preserve">Count per city</t>
  </si>
  <si>
    <t xml:space="preserve">Counts members from a specific city</t>
  </si>
  <si>
    <t xml:space="preserve">Max attendance</t>
  </si>
  <si>
    <t xml:space="preserve">Finds the highest attendance value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</si>
</sst>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yy"/>
    <numFmt numFmtId="166" formatCode="\₹#,##0"/>
    <numFmt numFmtId="167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BF360C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1565C0"/>
      <name val="Arial"/>
      <family val="0"/>
      <charset val="1"/>
    </font>
    <font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565C0"/>
      <name val="Arial"/>
      <family val="0"/>
      <charset val="1"/>
    </font>
    <font>
      <sz val="11"/>
      <color rgb="FFC62828"/>
      <name val="Arial"/>
      <family val="0"/>
      <charset val="1"/>
    </font>
    <font>
      <sz val="10"/>
      <color rgb="FF1B5E20"/>
      <name val="Arial"/>
      <family val="0"/>
      <charset val="1"/>
    </font>
    <font>
      <b val="true"/>
      <sz val="10"/>
      <color rgb="FFC62828"/>
      <name val="Arial"/>
      <family val="0"/>
      <charset val="1"/>
    </font>
    <font>
      <b val="true"/>
      <sz val="11"/>
      <color rgb="FFC62828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1"/>
      <color rgb="FF1565C0"/>
      <name val="Arial"/>
      <family val="0"/>
      <charset val="1"/>
    </font>
    <font>
      <b val="true"/>
      <sz val="11"/>
      <color rgb="FF7B1FA2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4A148C"/>
      <name val="Arial"/>
      <family val="0"/>
      <charset val="1"/>
    </font>
    <font>
      <sz val="10"/>
      <color rgb="FF1565C0"/>
      <name val="Courier New"/>
      <family val="0"/>
      <charset val="1"/>
    </font>
  </fonts>
  <fills count="24">
    <fill>
      <patternFill patternType="none"/>
    </fill>
    <fill>
      <patternFill patternType="gray125"/>
    </fill>
    <fill>
      <patternFill patternType="solid">
        <fgColor rgb="FF1B5E20"/>
        <bgColor rgb="FF2E7D32"/>
      </patternFill>
    </fill>
    <fill>
      <patternFill patternType="solid">
        <fgColor rgb="FFF1F8E9"/>
        <bgColor rgb="FFE8F5E9"/>
      </patternFill>
    </fill>
    <fill>
      <patternFill patternType="solid">
        <fgColor rgb="FF2E7D32"/>
        <bgColor rgb="FF1B5E20"/>
      </patternFill>
    </fill>
    <fill>
      <patternFill patternType="solid">
        <fgColor rgb="FF4CAF50"/>
        <bgColor rgb="FF2E7D32"/>
      </patternFill>
    </fill>
    <fill>
      <patternFill patternType="solid">
        <fgColor rgb="FFFFFFFF"/>
        <bgColor rgb="FFFFF8E1"/>
      </patternFill>
    </fill>
    <fill>
      <patternFill patternType="solid">
        <fgColor rgb="FFE8F5E9"/>
        <bgColor rgb="FFF1F8E9"/>
      </patternFill>
    </fill>
    <fill>
      <patternFill patternType="solid">
        <fgColor rgb="FF1565C0"/>
        <bgColor rgb="FF1976D2"/>
      </patternFill>
    </fill>
    <fill>
      <patternFill patternType="solid">
        <fgColor rgb="FF1976D2"/>
        <bgColor rgb="FF1565C0"/>
      </patternFill>
    </fill>
    <fill>
      <patternFill patternType="solid">
        <fgColor rgb="FFE3F2FD"/>
        <bgColor rgb="FFECEFF1"/>
      </patternFill>
    </fill>
    <fill>
      <patternFill patternType="solid">
        <fgColor rgb="FFB71C1C"/>
        <bgColor rgb="FFC62828"/>
      </patternFill>
    </fill>
    <fill>
      <patternFill patternType="solid">
        <fgColor rgb="FFFFCCBC"/>
        <bgColor rgb="FFF3E5F5"/>
      </patternFill>
    </fill>
    <fill>
      <patternFill patternType="solid">
        <fgColor rgb="FF0D47A1"/>
        <bgColor rgb="FF1565C0"/>
      </patternFill>
    </fill>
    <fill>
      <patternFill patternType="solid">
        <fgColor rgb="FFC8E6C9"/>
        <bgColor rgb="FFE8F5E9"/>
      </patternFill>
    </fill>
    <fill>
      <patternFill patternType="solid">
        <fgColor rgb="FFE65100"/>
        <bgColor rgb="FFBF360C"/>
      </patternFill>
    </fill>
    <fill>
      <patternFill patternType="solid">
        <fgColor rgb="FFF57C00"/>
        <bgColor rgb="FFE65100"/>
      </patternFill>
    </fill>
    <fill>
      <patternFill patternType="solid">
        <fgColor rgb="FFFFF8E1"/>
        <bgColor rgb="FFF1F8E9"/>
      </patternFill>
    </fill>
    <fill>
      <patternFill patternType="solid">
        <fgColor rgb="FF4A148C"/>
        <bgColor rgb="FF6A1B9A"/>
      </patternFill>
    </fill>
    <fill>
      <patternFill patternType="solid">
        <fgColor rgb="FFF3E5F5"/>
        <bgColor rgb="FFECEFF1"/>
      </patternFill>
    </fill>
    <fill>
      <patternFill patternType="solid">
        <fgColor rgb="FF6A1B9A"/>
        <bgColor rgb="FF7B1FA2"/>
      </patternFill>
    </fill>
    <fill>
      <patternFill patternType="solid">
        <fgColor rgb="FF37474F"/>
        <bgColor rgb="FF1B5E20"/>
      </patternFill>
    </fill>
    <fill>
      <patternFill patternType="solid">
        <fgColor rgb="FF546E7A"/>
        <bgColor rgb="FF808080"/>
      </patternFill>
    </fill>
    <fill>
      <patternFill patternType="solid">
        <fgColor rgb="FFECEFF1"/>
        <bgColor rgb="FFE8F5E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1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1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1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1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1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2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2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2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22" fillId="2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BF360C"/>
      </font>
      <fill>
        <patternFill>
          <bgColor rgb="FFFFCCB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808000"/>
      <rgbColor rgb="FF6A1B9A"/>
      <rgbColor rgb="FF008080"/>
      <rgbColor rgb="FFECEFF1"/>
      <rgbColor rgb="FF808080"/>
      <rgbColor rgb="FF9999FF"/>
      <rgbColor rgb="FFC62828"/>
      <rgbColor rgb="FFFFF8E1"/>
      <rgbColor rgb="FFE3F2FD"/>
      <rgbColor rgb="FF4A148C"/>
      <rgbColor rgb="FFFF8080"/>
      <rgbColor rgb="FF1565C0"/>
      <rgbColor rgb="FFF3E5F5"/>
      <rgbColor rgb="FF000080"/>
      <rgbColor rgb="FFFF00FF"/>
      <rgbColor rgb="FFFFFF00"/>
      <rgbColor rgb="FF00FFFF"/>
      <rgbColor rgb="FF7B1FA2"/>
      <rgbColor rgb="FF800000"/>
      <rgbColor rgb="FF008080"/>
      <rgbColor rgb="FF0000FF"/>
      <rgbColor rgb="FF00CCFF"/>
      <rgbColor rgb="FFE8F5E9"/>
      <rgbColor rgb="FFC8E6C9"/>
      <rgbColor rgb="FFF1F8E9"/>
      <rgbColor rgb="FF99CCFF"/>
      <rgbColor rgb="FFFF99CC"/>
      <rgbColor rgb="FFCC99FF"/>
      <rgbColor rgb="FFFFCCBC"/>
      <rgbColor rgb="FF1976D2"/>
      <rgbColor rgb="FF33CCCC"/>
      <rgbColor rgb="FF99CC00"/>
      <rgbColor rgb="FFFFCC00"/>
      <rgbColor rgb="FFE65100"/>
      <rgbColor rgb="FFF57C00"/>
      <rgbColor rgb="FF546E7A"/>
      <rgbColor rgb="FFAAAAAA"/>
      <rgbColor rgb="FF0D47A1"/>
      <rgbColor rgb="FF4CAF50"/>
      <rgbColor rgb="FF003300"/>
      <rgbColor rgb="FF1B5E20"/>
      <rgbColor rgb="FFBF360C"/>
      <rgbColor rgb="FFB71C1C"/>
      <rgbColor rgb="FF333399"/>
      <rgbColor rgb="FF3747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2"/>
    <col collapsed="false" customWidth="true" hidden="false" outlineLevel="0" max="3" min="3" style="1" width="8"/>
    <col collapsed="false" customWidth="true" hidden="false" outlineLevel="0" max="4" min="4" style="1" width="10"/>
    <col collapsed="false" customWidth="true" hidden="false" outlineLevel="0" max="5" min="5" style="1" width="16"/>
    <col collapsed="false" customWidth="true" hidden="false" outlineLevel="0" max="8" min="6" style="1" width="14"/>
    <col collapsed="false" customWidth="true" hidden="false" outlineLevel="0" max="9" min="9" style="1" width="12"/>
    <col collapsed="false" customWidth="true" hidden="false" outlineLevel="0" max="10" min="10" style="1" width="14"/>
    <col collapsed="false" customWidth="true" hidden="false" outlineLevel="0" max="11" min="11" style="1" width="22"/>
    <col collapsed="false" customWidth="true" hidden="false" outlineLevel="0" max="12" min="12" style="1" width="26"/>
    <col collapsed="false" customWidth="true" hidden="false" outlineLevel="0" max="13" min="13" style="1" width="12"/>
    <col collapsed="false" customWidth="true" hidden="false" outlineLevel="0" max="14" min="14" style="1" width="16"/>
    <col collapsed="false" customWidth="true" hidden="false" outlineLevel="0" max="15" min="15" style="1" width="13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5" hidden="false" customHeight="true" outlineLevel="0" collapsed="false">
      <c r="A2" s="3" t="s">
        <v>15</v>
      </c>
      <c r="B2" s="3" t="s">
        <v>16</v>
      </c>
      <c r="C2" s="3" t="n">
        <v>59</v>
      </c>
      <c r="D2" s="3" t="s">
        <v>17</v>
      </c>
      <c r="E2" s="3" t="s">
        <v>18</v>
      </c>
      <c r="F2" s="4" t="n">
        <v>45235</v>
      </c>
      <c r="G2" s="4" t="n">
        <v>45425</v>
      </c>
      <c r="H2" s="5" t="n">
        <v>800</v>
      </c>
      <c r="I2" s="3" t="n">
        <v>25</v>
      </c>
      <c r="J2" s="3" t="s">
        <v>19</v>
      </c>
      <c r="K2" s="3" t="s">
        <v>20</v>
      </c>
      <c r="L2" s="3" t="n">
        <f aca="false">INT((G2-F2)/30)</f>
        <v>6</v>
      </c>
      <c r="M2" s="3" t="str">
        <f aca="false">IF(K2&lt;&gt;"","Yes","No")</f>
        <v>Yes</v>
      </c>
      <c r="N2" s="5" t="n">
        <f aca="false">H2*L2</f>
        <v>4800</v>
      </c>
      <c r="O2" s="3" t="str">
        <f aca="false">IF(C2&lt;=30,"Youth",IF(C2&lt;=45,"Adults","Seniors"))</f>
        <v>Seniors</v>
      </c>
    </row>
    <row r="3" customFormat="false" ht="15" hidden="false" customHeight="true" outlineLevel="0" collapsed="false">
      <c r="A3" s="6" t="s">
        <v>21</v>
      </c>
      <c r="B3" s="6" t="s">
        <v>22</v>
      </c>
      <c r="C3" s="6" t="n">
        <v>27</v>
      </c>
      <c r="D3" s="6" t="s">
        <v>17</v>
      </c>
      <c r="E3" s="6" t="s">
        <v>18</v>
      </c>
      <c r="F3" s="7" t="n">
        <v>45714</v>
      </c>
      <c r="G3" s="7" t="n">
        <v>45740</v>
      </c>
      <c r="H3" s="8" t="n">
        <v>800</v>
      </c>
      <c r="I3" s="6" t="n">
        <v>20</v>
      </c>
      <c r="J3" s="6" t="s">
        <v>23</v>
      </c>
      <c r="K3" s="6" t="s">
        <v>24</v>
      </c>
      <c r="L3" s="6" t="n">
        <f aca="false">INT((G3-F3)/30)</f>
        <v>0</v>
      </c>
      <c r="M3" s="6" t="str">
        <f aca="false">IF(K3&lt;&gt;"","Yes","No")</f>
        <v>Yes</v>
      </c>
      <c r="N3" s="8" t="n">
        <f aca="false">H3*L3</f>
        <v>0</v>
      </c>
      <c r="O3" s="6" t="str">
        <f aca="false">IF(C3&lt;=30,"Youth",IF(C3&lt;=45,"Adults","Seniors"))</f>
        <v>Youth</v>
      </c>
    </row>
    <row r="4" customFormat="false" ht="15" hidden="false" customHeight="true" outlineLevel="0" collapsed="false">
      <c r="A4" s="3" t="s">
        <v>25</v>
      </c>
      <c r="B4" s="3" t="s">
        <v>26</v>
      </c>
      <c r="C4" s="3" t="n">
        <v>24</v>
      </c>
      <c r="D4" s="3" t="s">
        <v>17</v>
      </c>
      <c r="E4" s="3" t="s">
        <v>27</v>
      </c>
      <c r="F4" s="4" t="n">
        <v>45191</v>
      </c>
      <c r="G4" s="4" t="n">
        <v>45371</v>
      </c>
      <c r="H4" s="5" t="n">
        <v>1200</v>
      </c>
      <c r="I4" s="3" t="n">
        <v>18</v>
      </c>
      <c r="J4" s="3" t="s">
        <v>28</v>
      </c>
      <c r="K4" s="3" t="s">
        <v>29</v>
      </c>
      <c r="L4" s="3" t="n">
        <f aca="false">INT((G4-F4)/30)</f>
        <v>6</v>
      </c>
      <c r="M4" s="3" t="str">
        <f aca="false">IF(K4&lt;&gt;"","Yes","No")</f>
        <v>Yes</v>
      </c>
      <c r="N4" s="5" t="n">
        <f aca="false">H4*L4</f>
        <v>7200</v>
      </c>
      <c r="O4" s="3" t="str">
        <f aca="false">IF(C4&lt;=30,"Youth",IF(C4&lt;=45,"Adults","Seniors"))</f>
        <v>Youth</v>
      </c>
    </row>
    <row r="5" customFormat="false" ht="15" hidden="false" customHeight="true" outlineLevel="0" collapsed="false">
      <c r="A5" s="6" t="s">
        <v>30</v>
      </c>
      <c r="B5" s="6" t="s">
        <v>31</v>
      </c>
      <c r="C5" s="6" t="n">
        <v>31</v>
      </c>
      <c r="D5" s="6" t="s">
        <v>32</v>
      </c>
      <c r="E5" s="6" t="s">
        <v>27</v>
      </c>
      <c r="F5" s="7" t="n">
        <v>45479</v>
      </c>
      <c r="G5" s="7" t="n">
        <v>45587</v>
      </c>
      <c r="H5" s="8" t="n">
        <v>1200</v>
      </c>
      <c r="I5" s="6" t="n">
        <v>16</v>
      </c>
      <c r="J5" s="6" t="s">
        <v>28</v>
      </c>
      <c r="K5" s="6" t="s">
        <v>33</v>
      </c>
      <c r="L5" s="6" t="n">
        <f aca="false">INT((G5-F5)/30)</f>
        <v>3</v>
      </c>
      <c r="M5" s="6" t="str">
        <f aca="false">IF(K5&lt;&gt;"","Yes","No")</f>
        <v>Yes</v>
      </c>
      <c r="N5" s="8" t="n">
        <f aca="false">H5*L5</f>
        <v>3600</v>
      </c>
      <c r="O5" s="6" t="str">
        <f aca="false">IF(C5&lt;=30,"Youth",IF(C5&lt;=45,"Adults","Seniors"))</f>
        <v>Adults</v>
      </c>
    </row>
    <row r="6" customFormat="false" ht="15" hidden="false" customHeight="true" outlineLevel="0" collapsed="false">
      <c r="A6" s="3" t="s">
        <v>34</v>
      </c>
      <c r="B6" s="3" t="s">
        <v>35</v>
      </c>
      <c r="C6" s="3" t="n">
        <v>19</v>
      </c>
      <c r="D6" s="3" t="s">
        <v>17</v>
      </c>
      <c r="E6" s="3" t="s">
        <v>36</v>
      </c>
      <c r="F6" s="4" t="n">
        <v>45286</v>
      </c>
      <c r="G6" s="4" t="n">
        <v>45501</v>
      </c>
      <c r="H6" s="5" t="n">
        <v>2500</v>
      </c>
      <c r="I6" s="3" t="n">
        <v>12</v>
      </c>
      <c r="J6" s="3" t="s">
        <v>19</v>
      </c>
      <c r="K6" s="3" t="s">
        <v>37</v>
      </c>
      <c r="L6" s="3" t="n">
        <f aca="false">INT((G6-F6)/30)</f>
        <v>7</v>
      </c>
      <c r="M6" s="3" t="str">
        <f aca="false">IF(K6&lt;&gt;"","Yes","No")</f>
        <v>Yes</v>
      </c>
      <c r="N6" s="5" t="n">
        <f aca="false">H6*L6</f>
        <v>17500</v>
      </c>
      <c r="O6" s="3" t="str">
        <f aca="false">IF(C6&lt;=30,"Youth",IF(C6&lt;=45,"Adults","Seniors"))</f>
        <v>Youth</v>
      </c>
    </row>
    <row r="7" customFormat="false" ht="15" hidden="false" customHeight="true" outlineLevel="0" collapsed="false">
      <c r="A7" s="6" t="s">
        <v>38</v>
      </c>
      <c r="B7" s="6" t="s">
        <v>39</v>
      </c>
      <c r="C7" s="6" t="n">
        <v>40</v>
      </c>
      <c r="D7" s="6" t="s">
        <v>17</v>
      </c>
      <c r="E7" s="6" t="s">
        <v>18</v>
      </c>
      <c r="F7" s="7" t="n">
        <v>45317</v>
      </c>
      <c r="G7" s="7" t="n">
        <v>45392</v>
      </c>
      <c r="H7" s="8" t="n">
        <v>800</v>
      </c>
      <c r="I7" s="6" t="n">
        <v>14</v>
      </c>
      <c r="J7" s="6" t="s">
        <v>40</v>
      </c>
      <c r="K7" s="6" t="s">
        <v>41</v>
      </c>
      <c r="L7" s="6" t="n">
        <f aca="false">INT((G7-F7)/30)</f>
        <v>2</v>
      </c>
      <c r="M7" s="6" t="str">
        <f aca="false">IF(K7&lt;&gt;"","Yes","No")</f>
        <v>Yes</v>
      </c>
      <c r="N7" s="8" t="n">
        <f aca="false">H7*L7</f>
        <v>1600</v>
      </c>
      <c r="O7" s="6" t="str">
        <f aca="false">IF(C7&lt;=30,"Youth",IF(C7&lt;=45,"Adults","Seniors"))</f>
        <v>Adults</v>
      </c>
    </row>
    <row r="8" customFormat="false" ht="15" hidden="false" customHeight="true" outlineLevel="0" collapsed="false">
      <c r="A8" s="3" t="s">
        <v>42</v>
      </c>
      <c r="B8" s="3" t="s">
        <v>43</v>
      </c>
      <c r="C8" s="3" t="n">
        <v>41</v>
      </c>
      <c r="D8" s="3" t="s">
        <v>32</v>
      </c>
      <c r="E8" s="3" t="s">
        <v>18</v>
      </c>
      <c r="F8" s="4" t="n">
        <v>45588</v>
      </c>
      <c r="G8" s="4" t="n">
        <v>45677</v>
      </c>
      <c r="H8" s="5" t="n">
        <v>800</v>
      </c>
      <c r="I8" s="3" t="n">
        <v>25</v>
      </c>
      <c r="J8" s="3" t="s">
        <v>23</v>
      </c>
      <c r="K8" s="3"/>
      <c r="L8" s="3" t="n">
        <f aca="false">INT((G8-F8)/30)</f>
        <v>2</v>
      </c>
      <c r="M8" s="3" t="str">
        <f aca="false">IF(K8&lt;&gt;"","Yes","No")</f>
        <v>No</v>
      </c>
      <c r="N8" s="5" t="n">
        <f aca="false">H8*L8</f>
        <v>1600</v>
      </c>
      <c r="O8" s="3" t="str">
        <f aca="false">IF(C8&lt;=30,"Youth",IF(C8&lt;=45,"Adults","Seniors"))</f>
        <v>Adults</v>
      </c>
    </row>
    <row r="9" customFormat="false" ht="15" hidden="false" customHeight="true" outlineLevel="0" collapsed="false">
      <c r="A9" s="6" t="s">
        <v>44</v>
      </c>
      <c r="B9" s="6" t="s">
        <v>45</v>
      </c>
      <c r="C9" s="6" t="n">
        <v>43</v>
      </c>
      <c r="D9" s="6" t="s">
        <v>17</v>
      </c>
      <c r="E9" s="6" t="s">
        <v>46</v>
      </c>
      <c r="F9" s="7" t="n">
        <v>45450</v>
      </c>
      <c r="G9" s="7" t="n">
        <v>45563</v>
      </c>
      <c r="H9" s="8" t="n">
        <v>1800</v>
      </c>
      <c r="I9" s="6" t="n">
        <v>28</v>
      </c>
      <c r="J9" s="6" t="s">
        <v>47</v>
      </c>
      <c r="K9" s="6"/>
      <c r="L9" s="6" t="n">
        <f aca="false">INT((G9-F9)/30)</f>
        <v>3</v>
      </c>
      <c r="M9" s="6" t="str">
        <f aca="false">IF(K9&lt;&gt;"","Yes","No")</f>
        <v>No</v>
      </c>
      <c r="N9" s="8" t="n">
        <f aca="false">H9*L9</f>
        <v>5400</v>
      </c>
      <c r="O9" s="6" t="str">
        <f aca="false">IF(C9&lt;=30,"Youth",IF(C9&lt;=45,"Adults","Seniors"))</f>
        <v>Adults</v>
      </c>
    </row>
    <row r="10" customFormat="false" ht="15" hidden="false" customHeight="true" outlineLevel="0" collapsed="false">
      <c r="A10" s="3" t="s">
        <v>48</v>
      </c>
      <c r="B10" s="3" t="s">
        <v>49</v>
      </c>
      <c r="C10" s="3" t="n">
        <v>42</v>
      </c>
      <c r="D10" s="3" t="s">
        <v>17</v>
      </c>
      <c r="E10" s="3" t="s">
        <v>18</v>
      </c>
      <c r="F10" s="4" t="n">
        <v>45569</v>
      </c>
      <c r="G10" s="4" t="n">
        <v>45582</v>
      </c>
      <c r="H10" s="5" t="n">
        <v>800</v>
      </c>
      <c r="I10" s="3" t="n">
        <v>3</v>
      </c>
      <c r="J10" s="3" t="s">
        <v>47</v>
      </c>
      <c r="K10" s="3" t="s">
        <v>50</v>
      </c>
      <c r="L10" s="3" t="n">
        <f aca="false">INT((G10-F10)/30)</f>
        <v>0</v>
      </c>
      <c r="M10" s="3" t="str">
        <f aca="false">IF(K10&lt;&gt;"","Yes","No")</f>
        <v>Yes</v>
      </c>
      <c r="N10" s="5" t="n">
        <f aca="false">H10*L10</f>
        <v>0</v>
      </c>
      <c r="O10" s="3" t="str">
        <f aca="false">IF(C10&lt;=30,"Youth",IF(C10&lt;=45,"Adults","Seniors"))</f>
        <v>Adults</v>
      </c>
    </row>
    <row r="11" customFormat="false" ht="15" hidden="false" customHeight="true" outlineLevel="0" collapsed="false">
      <c r="A11" s="6" t="s">
        <v>51</v>
      </c>
      <c r="B11" s="6" t="s">
        <v>52</v>
      </c>
      <c r="C11" s="6" t="n">
        <v>37</v>
      </c>
      <c r="D11" s="6" t="s">
        <v>17</v>
      </c>
      <c r="E11" s="6" t="s">
        <v>27</v>
      </c>
      <c r="F11" s="7" t="n">
        <v>45202</v>
      </c>
      <c r="G11" s="7" t="n">
        <v>45280</v>
      </c>
      <c r="H11" s="8" t="n">
        <v>1200</v>
      </c>
      <c r="I11" s="6" t="n">
        <v>29</v>
      </c>
      <c r="J11" s="6" t="s">
        <v>40</v>
      </c>
      <c r="K11" s="6" t="s">
        <v>53</v>
      </c>
      <c r="L11" s="6" t="n">
        <f aca="false">INT((G11-F11)/30)</f>
        <v>2</v>
      </c>
      <c r="M11" s="6" t="str">
        <f aca="false">IF(K11&lt;&gt;"","Yes","No")</f>
        <v>Yes</v>
      </c>
      <c r="N11" s="8" t="n">
        <f aca="false">H11*L11</f>
        <v>2400</v>
      </c>
      <c r="O11" s="6" t="str">
        <f aca="false">IF(C11&lt;=30,"Youth",IF(C11&lt;=45,"Adults","Seniors"))</f>
        <v>Adults</v>
      </c>
    </row>
    <row r="12" customFormat="false" ht="15" hidden="false" customHeight="true" outlineLevel="0" collapsed="false">
      <c r="A12" s="3" t="s">
        <v>54</v>
      </c>
      <c r="B12" s="3" t="s">
        <v>55</v>
      </c>
      <c r="C12" s="3" t="n">
        <v>48</v>
      </c>
      <c r="D12" s="3" t="s">
        <v>32</v>
      </c>
      <c r="E12" s="3" t="s">
        <v>27</v>
      </c>
      <c r="F12" s="4" t="n">
        <v>45297</v>
      </c>
      <c r="G12" s="4" t="n">
        <v>45459</v>
      </c>
      <c r="H12" s="5" t="n">
        <v>1200</v>
      </c>
      <c r="I12" s="3" t="n">
        <v>13</v>
      </c>
      <c r="J12" s="3" t="s">
        <v>19</v>
      </c>
      <c r="K12" s="3" t="s">
        <v>56</v>
      </c>
      <c r="L12" s="3" t="n">
        <f aca="false">INT((G12-F12)/30)</f>
        <v>5</v>
      </c>
      <c r="M12" s="3" t="str">
        <f aca="false">IF(K12&lt;&gt;"","Yes","No")</f>
        <v>Yes</v>
      </c>
      <c r="N12" s="5" t="n">
        <f aca="false">H12*L12</f>
        <v>6000</v>
      </c>
      <c r="O12" s="3" t="str">
        <f aca="false">IF(C12&lt;=30,"Youth",IF(C12&lt;=45,"Adults","Seniors"))</f>
        <v>Seniors</v>
      </c>
    </row>
    <row r="13" customFormat="false" ht="15" hidden="false" customHeight="true" outlineLevel="0" collapsed="false">
      <c r="A13" s="6" t="s">
        <v>57</v>
      </c>
      <c r="B13" s="6" t="s">
        <v>58</v>
      </c>
      <c r="C13" s="6" t="n">
        <v>36</v>
      </c>
      <c r="D13" s="6" t="s">
        <v>17</v>
      </c>
      <c r="E13" s="6" t="s">
        <v>27</v>
      </c>
      <c r="F13" s="7" t="n">
        <v>45154</v>
      </c>
      <c r="G13" s="7" t="n">
        <v>45568</v>
      </c>
      <c r="H13" s="8" t="n">
        <v>1200</v>
      </c>
      <c r="I13" s="6" t="n">
        <v>19</v>
      </c>
      <c r="J13" s="6" t="s">
        <v>47</v>
      </c>
      <c r="K13" s="6" t="s">
        <v>59</v>
      </c>
      <c r="L13" s="6" t="n">
        <f aca="false">INT((G13-F13)/30)</f>
        <v>13</v>
      </c>
      <c r="M13" s="6" t="str">
        <f aca="false">IF(K13&lt;&gt;"","Yes","No")</f>
        <v>Yes</v>
      </c>
      <c r="N13" s="8" t="n">
        <f aca="false">H13*L13</f>
        <v>15600</v>
      </c>
      <c r="O13" s="6" t="str">
        <f aca="false">IF(C13&lt;=30,"Youth",IF(C13&lt;=45,"Adults","Seniors"))</f>
        <v>Adults</v>
      </c>
    </row>
    <row r="14" customFormat="false" ht="15" hidden="false" customHeight="true" outlineLevel="0" collapsed="false">
      <c r="A14" s="3" t="s">
        <v>60</v>
      </c>
      <c r="B14" s="3" t="s">
        <v>61</v>
      </c>
      <c r="C14" s="3" t="n">
        <v>48</v>
      </c>
      <c r="D14" s="3" t="s">
        <v>32</v>
      </c>
      <c r="E14" s="3" t="s">
        <v>46</v>
      </c>
      <c r="F14" s="4" t="n">
        <v>45556</v>
      </c>
      <c r="G14" s="4" t="n">
        <v>45641</v>
      </c>
      <c r="H14" s="5" t="n">
        <v>1800</v>
      </c>
      <c r="I14" s="3" t="n">
        <v>22</v>
      </c>
      <c r="J14" s="3" t="s">
        <v>47</v>
      </c>
      <c r="K14" s="3"/>
      <c r="L14" s="3" t="n">
        <f aca="false">INT((G14-F14)/30)</f>
        <v>2</v>
      </c>
      <c r="M14" s="3" t="str">
        <f aca="false">IF(K14&lt;&gt;"","Yes","No")</f>
        <v>No</v>
      </c>
      <c r="N14" s="5" t="n">
        <f aca="false">H14*L14</f>
        <v>3600</v>
      </c>
      <c r="O14" s="3" t="str">
        <f aca="false">IF(C14&lt;=30,"Youth",IF(C14&lt;=45,"Adults","Seniors"))</f>
        <v>Seniors</v>
      </c>
    </row>
    <row r="15" customFormat="false" ht="15" hidden="false" customHeight="true" outlineLevel="0" collapsed="false">
      <c r="A15" s="6" t="s">
        <v>62</v>
      </c>
      <c r="B15" s="6" t="s">
        <v>63</v>
      </c>
      <c r="C15" s="6" t="n">
        <v>39</v>
      </c>
      <c r="D15" s="6" t="s">
        <v>17</v>
      </c>
      <c r="E15" s="6" t="s">
        <v>27</v>
      </c>
      <c r="F15" s="7" t="n">
        <v>45065</v>
      </c>
      <c r="G15" s="7" t="n">
        <v>45242</v>
      </c>
      <c r="H15" s="8" t="n">
        <v>1200</v>
      </c>
      <c r="I15" s="6" t="n">
        <v>28</v>
      </c>
      <c r="J15" s="6" t="s">
        <v>40</v>
      </c>
      <c r="K15" s="6"/>
      <c r="L15" s="6" t="n">
        <f aca="false">INT((G15-F15)/30)</f>
        <v>5</v>
      </c>
      <c r="M15" s="6" t="str">
        <f aca="false">IF(K15&lt;&gt;"","Yes","No")</f>
        <v>No</v>
      </c>
      <c r="N15" s="8" t="n">
        <f aca="false">H15*L15</f>
        <v>6000</v>
      </c>
      <c r="O15" s="6" t="str">
        <f aca="false">IF(C15&lt;=30,"Youth",IF(C15&lt;=45,"Adults","Seniors"))</f>
        <v>Adults</v>
      </c>
    </row>
    <row r="16" customFormat="false" ht="15" hidden="false" customHeight="true" outlineLevel="0" collapsed="false">
      <c r="A16" s="3" t="s">
        <v>64</v>
      </c>
      <c r="B16" s="3" t="s">
        <v>65</v>
      </c>
      <c r="C16" s="3" t="n">
        <v>44</v>
      </c>
      <c r="D16" s="3" t="s">
        <v>32</v>
      </c>
      <c r="E16" s="3" t="s">
        <v>18</v>
      </c>
      <c r="F16" s="4" t="n">
        <v>45333</v>
      </c>
      <c r="G16" s="4" t="n">
        <v>45540</v>
      </c>
      <c r="H16" s="5" t="n">
        <v>800</v>
      </c>
      <c r="I16" s="3" t="n">
        <v>8</v>
      </c>
      <c r="J16" s="3" t="s">
        <v>28</v>
      </c>
      <c r="K16" s="3"/>
      <c r="L16" s="3" t="n">
        <f aca="false">INT((G16-F16)/30)</f>
        <v>6</v>
      </c>
      <c r="M16" s="3" t="str">
        <f aca="false">IF(K16&lt;&gt;"","Yes","No")</f>
        <v>No</v>
      </c>
      <c r="N16" s="5" t="n">
        <f aca="false">H16*L16</f>
        <v>4800</v>
      </c>
      <c r="O16" s="3" t="str">
        <f aca="false">IF(C16&lt;=30,"Youth",IF(C16&lt;=45,"Adults","Seniors"))</f>
        <v>Adults</v>
      </c>
    </row>
    <row r="17" customFormat="false" ht="15" hidden="false" customHeight="true" outlineLevel="0" collapsed="false">
      <c r="A17" s="6" t="s">
        <v>66</v>
      </c>
      <c r="B17" s="6" t="s">
        <v>67</v>
      </c>
      <c r="C17" s="6" t="n">
        <v>39</v>
      </c>
      <c r="D17" s="6" t="s">
        <v>17</v>
      </c>
      <c r="E17" s="6" t="s">
        <v>36</v>
      </c>
      <c r="F17" s="7" t="n">
        <v>45702</v>
      </c>
      <c r="G17" s="7" t="n">
        <v>45732</v>
      </c>
      <c r="H17" s="8" t="n">
        <v>2500</v>
      </c>
      <c r="I17" s="6" t="n">
        <v>14</v>
      </c>
      <c r="J17" s="6" t="s">
        <v>47</v>
      </c>
      <c r="K17" s="6"/>
      <c r="L17" s="6" t="n">
        <f aca="false">INT((G17-F17)/30)</f>
        <v>1</v>
      </c>
      <c r="M17" s="6" t="str">
        <f aca="false">IF(K17&lt;&gt;"","Yes","No")</f>
        <v>No</v>
      </c>
      <c r="N17" s="8" t="n">
        <f aca="false">H17*L17</f>
        <v>2500</v>
      </c>
      <c r="O17" s="6" t="str">
        <f aca="false">IF(C17&lt;=30,"Youth",IF(C17&lt;=45,"Adults","Seniors"))</f>
        <v>Adults</v>
      </c>
    </row>
    <row r="18" customFormat="false" ht="15" hidden="false" customHeight="true" outlineLevel="0" collapsed="false">
      <c r="A18" s="3" t="s">
        <v>68</v>
      </c>
      <c r="B18" s="3" t="s">
        <v>69</v>
      </c>
      <c r="C18" s="3" t="n">
        <v>35</v>
      </c>
      <c r="D18" s="3" t="s">
        <v>17</v>
      </c>
      <c r="E18" s="3" t="s">
        <v>27</v>
      </c>
      <c r="F18" s="4" t="n">
        <v>45329</v>
      </c>
      <c r="G18" s="4" t="n">
        <v>45685</v>
      </c>
      <c r="H18" s="5" t="n">
        <v>1200</v>
      </c>
      <c r="I18" s="3" t="n">
        <v>25</v>
      </c>
      <c r="J18" s="3" t="s">
        <v>28</v>
      </c>
      <c r="K18" s="3"/>
      <c r="L18" s="3" t="n">
        <f aca="false">INT((G18-F18)/30)</f>
        <v>11</v>
      </c>
      <c r="M18" s="3" t="str">
        <f aca="false">IF(K18&lt;&gt;"","Yes","No")</f>
        <v>No</v>
      </c>
      <c r="N18" s="5" t="n">
        <f aca="false">H18*L18</f>
        <v>13200</v>
      </c>
      <c r="O18" s="3" t="str">
        <f aca="false">IF(C18&lt;=30,"Youth",IF(C18&lt;=45,"Adults","Seniors"))</f>
        <v>Adults</v>
      </c>
    </row>
    <row r="19" customFormat="false" ht="15" hidden="false" customHeight="true" outlineLevel="0" collapsed="false">
      <c r="A19" s="6" t="s">
        <v>70</v>
      </c>
      <c r="B19" s="6" t="s">
        <v>71</v>
      </c>
      <c r="C19" s="6" t="n">
        <v>56</v>
      </c>
      <c r="D19" s="6" t="s">
        <v>32</v>
      </c>
      <c r="E19" s="6" t="s">
        <v>36</v>
      </c>
      <c r="F19" s="7" t="n">
        <v>45213</v>
      </c>
      <c r="G19" s="7" t="n">
        <v>45649</v>
      </c>
      <c r="H19" s="8" t="n">
        <v>2500</v>
      </c>
      <c r="I19" s="6" t="n">
        <v>13</v>
      </c>
      <c r="J19" s="6" t="s">
        <v>72</v>
      </c>
      <c r="K19" s="6"/>
      <c r="L19" s="6" t="n">
        <f aca="false">INT((G19-F19)/30)</f>
        <v>14</v>
      </c>
      <c r="M19" s="6" t="str">
        <f aca="false">IF(K19&lt;&gt;"","Yes","No")</f>
        <v>No</v>
      </c>
      <c r="N19" s="8" t="n">
        <f aca="false">H19*L19</f>
        <v>35000</v>
      </c>
      <c r="O19" s="6" t="str">
        <f aca="false">IF(C19&lt;=30,"Youth",IF(C19&lt;=45,"Adults","Seniors"))</f>
        <v>Seniors</v>
      </c>
    </row>
    <row r="20" customFormat="false" ht="15" hidden="false" customHeight="true" outlineLevel="0" collapsed="false">
      <c r="A20" s="3" t="s">
        <v>73</v>
      </c>
      <c r="B20" s="3" t="s">
        <v>74</v>
      </c>
      <c r="C20" s="3" t="n">
        <v>27</v>
      </c>
      <c r="D20" s="3" t="s">
        <v>32</v>
      </c>
      <c r="E20" s="3" t="s">
        <v>18</v>
      </c>
      <c r="F20" s="4" t="n">
        <v>45354</v>
      </c>
      <c r="G20" s="4" t="n">
        <v>45664</v>
      </c>
      <c r="H20" s="5" t="n">
        <v>800</v>
      </c>
      <c r="I20" s="3" t="n">
        <v>26</v>
      </c>
      <c r="J20" s="3" t="s">
        <v>40</v>
      </c>
      <c r="K20" s="3"/>
      <c r="L20" s="3" t="n">
        <f aca="false">INT((G20-F20)/30)</f>
        <v>10</v>
      </c>
      <c r="M20" s="3" t="str">
        <f aca="false">IF(K20&lt;&gt;"","Yes","No")</f>
        <v>No</v>
      </c>
      <c r="N20" s="5" t="n">
        <f aca="false">H20*L20</f>
        <v>8000</v>
      </c>
      <c r="O20" s="3" t="str">
        <f aca="false">IF(C20&lt;=30,"Youth",IF(C20&lt;=45,"Adults","Seniors"))</f>
        <v>Youth</v>
      </c>
    </row>
    <row r="21" customFormat="false" ht="15" hidden="false" customHeight="true" outlineLevel="0" collapsed="false">
      <c r="A21" s="6" t="s">
        <v>75</v>
      </c>
      <c r="B21" s="6" t="s">
        <v>76</v>
      </c>
      <c r="C21" s="6" t="n">
        <v>28</v>
      </c>
      <c r="D21" s="6" t="s">
        <v>17</v>
      </c>
      <c r="E21" s="6" t="s">
        <v>36</v>
      </c>
      <c r="F21" s="7" t="n">
        <v>45417</v>
      </c>
      <c r="G21" s="7" t="n">
        <v>45608</v>
      </c>
      <c r="H21" s="8" t="n">
        <v>2500</v>
      </c>
      <c r="I21" s="6" t="n">
        <v>21</v>
      </c>
      <c r="J21" s="6" t="s">
        <v>40</v>
      </c>
      <c r="K21" s="6" t="s">
        <v>77</v>
      </c>
      <c r="L21" s="6" t="n">
        <f aca="false">INT((G21-F21)/30)</f>
        <v>6</v>
      </c>
      <c r="M21" s="6" t="str">
        <f aca="false">IF(K21&lt;&gt;"","Yes","No")</f>
        <v>Yes</v>
      </c>
      <c r="N21" s="8" t="n">
        <f aca="false">H21*L21</f>
        <v>15000</v>
      </c>
      <c r="O21" s="6" t="str">
        <f aca="false">IF(C21&lt;=30,"Youth",IF(C21&lt;=45,"Adults","Seniors"))</f>
        <v>Youth</v>
      </c>
    </row>
    <row r="22" customFormat="false" ht="15" hidden="false" customHeight="true" outlineLevel="0" collapsed="false">
      <c r="A22" s="3" t="s">
        <v>78</v>
      </c>
      <c r="B22" s="3" t="s">
        <v>79</v>
      </c>
      <c r="C22" s="3" t="n">
        <v>57</v>
      </c>
      <c r="D22" s="3" t="s">
        <v>32</v>
      </c>
      <c r="E22" s="3" t="s">
        <v>46</v>
      </c>
      <c r="F22" s="4" t="n">
        <v>45146</v>
      </c>
      <c r="G22" s="4" t="n">
        <v>45674</v>
      </c>
      <c r="H22" s="5" t="n">
        <v>1800</v>
      </c>
      <c r="I22" s="3" t="n">
        <v>19</v>
      </c>
      <c r="J22" s="3" t="s">
        <v>40</v>
      </c>
      <c r="K22" s="3"/>
      <c r="L22" s="3" t="n">
        <f aca="false">INT((G22-F22)/30)</f>
        <v>17</v>
      </c>
      <c r="M22" s="3" t="str">
        <f aca="false">IF(K22&lt;&gt;"","Yes","No")</f>
        <v>No</v>
      </c>
      <c r="N22" s="5" t="n">
        <f aca="false">H22*L22</f>
        <v>30600</v>
      </c>
      <c r="O22" s="3" t="str">
        <f aca="false">IF(C22&lt;=30,"Youth",IF(C22&lt;=45,"Adults","Seniors"))</f>
        <v>Seniors</v>
      </c>
    </row>
    <row r="23" customFormat="false" ht="15" hidden="false" customHeight="true" outlineLevel="0" collapsed="false">
      <c r="A23" s="6" t="s">
        <v>80</v>
      </c>
      <c r="B23" s="6" t="s">
        <v>81</v>
      </c>
      <c r="C23" s="6" t="n">
        <v>26</v>
      </c>
      <c r="D23" s="6" t="s">
        <v>32</v>
      </c>
      <c r="E23" s="6" t="s">
        <v>46</v>
      </c>
      <c r="F23" s="7" t="n">
        <v>45320</v>
      </c>
      <c r="G23" s="7" t="n">
        <v>45616</v>
      </c>
      <c r="H23" s="8" t="n">
        <v>1800</v>
      </c>
      <c r="I23" s="6" t="n">
        <v>5</v>
      </c>
      <c r="J23" s="6" t="s">
        <v>19</v>
      </c>
      <c r="K23" s="6"/>
      <c r="L23" s="6" t="n">
        <f aca="false">INT((G23-F23)/30)</f>
        <v>9</v>
      </c>
      <c r="M23" s="6" t="str">
        <f aca="false">IF(K23&lt;&gt;"","Yes","No")</f>
        <v>No</v>
      </c>
      <c r="N23" s="8" t="n">
        <f aca="false">H23*L23</f>
        <v>16200</v>
      </c>
      <c r="O23" s="6" t="str">
        <f aca="false">IF(C23&lt;=30,"Youth",IF(C23&lt;=45,"Adults","Seniors"))</f>
        <v>Youth</v>
      </c>
    </row>
    <row r="24" customFormat="false" ht="15" hidden="false" customHeight="true" outlineLevel="0" collapsed="false">
      <c r="A24" s="3" t="s">
        <v>82</v>
      </c>
      <c r="B24" s="3" t="s">
        <v>83</v>
      </c>
      <c r="C24" s="3" t="n">
        <v>48</v>
      </c>
      <c r="D24" s="3" t="s">
        <v>17</v>
      </c>
      <c r="E24" s="3" t="s">
        <v>46</v>
      </c>
      <c r="F24" s="4" t="n">
        <v>45451</v>
      </c>
      <c r="G24" s="4" t="n">
        <v>45455</v>
      </c>
      <c r="H24" s="5" t="n">
        <v>1800</v>
      </c>
      <c r="I24" s="3" t="n">
        <v>18</v>
      </c>
      <c r="J24" s="3" t="s">
        <v>72</v>
      </c>
      <c r="K24" s="3"/>
      <c r="L24" s="3" t="n">
        <f aca="false">INT((G24-F24)/30)</f>
        <v>0</v>
      </c>
      <c r="M24" s="3" t="str">
        <f aca="false">IF(K24&lt;&gt;"","Yes","No")</f>
        <v>No</v>
      </c>
      <c r="N24" s="5" t="n">
        <f aca="false">H24*L24</f>
        <v>0</v>
      </c>
      <c r="O24" s="3" t="str">
        <f aca="false">IF(C24&lt;=30,"Youth",IF(C24&lt;=45,"Adults","Seniors"))</f>
        <v>Seniors</v>
      </c>
    </row>
    <row r="25" customFormat="false" ht="15" hidden="false" customHeight="true" outlineLevel="0" collapsed="false">
      <c r="A25" s="6" t="s">
        <v>84</v>
      </c>
      <c r="B25" s="6" t="s">
        <v>85</v>
      </c>
      <c r="C25" s="6" t="n">
        <v>25</v>
      </c>
      <c r="D25" s="6" t="s">
        <v>32</v>
      </c>
      <c r="E25" s="6" t="s">
        <v>27</v>
      </c>
      <c r="F25" s="7" t="n">
        <v>45439</v>
      </c>
      <c r="G25" s="7" t="n">
        <v>45730</v>
      </c>
      <c r="H25" s="8" t="n">
        <v>1200</v>
      </c>
      <c r="I25" s="6" t="n">
        <v>6</v>
      </c>
      <c r="J25" s="6" t="s">
        <v>19</v>
      </c>
      <c r="K25" s="6"/>
      <c r="L25" s="6" t="n">
        <f aca="false">INT((G25-F25)/30)</f>
        <v>9</v>
      </c>
      <c r="M25" s="6" t="str">
        <f aca="false">IF(K25&lt;&gt;"","Yes","No")</f>
        <v>No</v>
      </c>
      <c r="N25" s="8" t="n">
        <f aca="false">H25*L25</f>
        <v>10800</v>
      </c>
      <c r="O25" s="6" t="str">
        <f aca="false">IF(C25&lt;=30,"Youth",IF(C25&lt;=45,"Adults","Seniors"))</f>
        <v>Youth</v>
      </c>
    </row>
    <row r="26" customFormat="false" ht="15" hidden="false" customHeight="true" outlineLevel="0" collapsed="false">
      <c r="A26" s="3" t="s">
        <v>86</v>
      </c>
      <c r="B26" s="3" t="s">
        <v>87</v>
      </c>
      <c r="C26" s="3" t="n">
        <v>53</v>
      </c>
      <c r="D26" s="3" t="s">
        <v>17</v>
      </c>
      <c r="E26" s="3" t="s">
        <v>46</v>
      </c>
      <c r="F26" s="4" t="n">
        <v>45286</v>
      </c>
      <c r="G26" s="4" t="n">
        <v>45372</v>
      </c>
      <c r="H26" s="5" t="n">
        <v>1800</v>
      </c>
      <c r="I26" s="3" t="n">
        <v>17</v>
      </c>
      <c r="J26" s="3" t="s">
        <v>40</v>
      </c>
      <c r="K26" s="3" t="s">
        <v>88</v>
      </c>
      <c r="L26" s="3" t="n">
        <f aca="false">INT((G26-F26)/30)</f>
        <v>2</v>
      </c>
      <c r="M26" s="3" t="str">
        <f aca="false">IF(K26&lt;&gt;"","Yes","No")</f>
        <v>Yes</v>
      </c>
      <c r="N26" s="5" t="n">
        <f aca="false">H26*L26</f>
        <v>3600</v>
      </c>
      <c r="O26" s="3" t="str">
        <f aca="false">IF(C26&lt;=30,"Youth",IF(C26&lt;=45,"Adults","Seniors"))</f>
        <v>Seniors</v>
      </c>
    </row>
    <row r="27" customFormat="false" ht="15" hidden="false" customHeight="true" outlineLevel="0" collapsed="false">
      <c r="A27" s="6" t="s">
        <v>89</v>
      </c>
      <c r="B27" s="6" t="s">
        <v>90</v>
      </c>
      <c r="C27" s="6" t="n">
        <v>42</v>
      </c>
      <c r="D27" s="6" t="s">
        <v>32</v>
      </c>
      <c r="E27" s="6" t="s">
        <v>27</v>
      </c>
      <c r="F27" s="7" t="n">
        <v>45702</v>
      </c>
      <c r="G27" s="7" t="n">
        <v>45727</v>
      </c>
      <c r="H27" s="8" t="n">
        <v>1200</v>
      </c>
      <c r="I27" s="6" t="n">
        <v>3</v>
      </c>
      <c r="J27" s="6" t="s">
        <v>72</v>
      </c>
      <c r="K27" s="6"/>
      <c r="L27" s="6" t="n">
        <f aca="false">INT((G27-F27)/30)</f>
        <v>0</v>
      </c>
      <c r="M27" s="6" t="str">
        <f aca="false">IF(K27&lt;&gt;"","Yes","No")</f>
        <v>No</v>
      </c>
      <c r="N27" s="8" t="n">
        <f aca="false">H27*L27</f>
        <v>0</v>
      </c>
      <c r="O27" s="6" t="str">
        <f aca="false">IF(C27&lt;=30,"Youth",IF(C27&lt;=45,"Adults","Seniors"))</f>
        <v>Adults</v>
      </c>
    </row>
    <row r="28" customFormat="false" ht="15" hidden="false" customHeight="true" outlineLevel="0" collapsed="false">
      <c r="A28" s="3" t="s">
        <v>91</v>
      </c>
      <c r="B28" s="3" t="s">
        <v>92</v>
      </c>
      <c r="C28" s="3" t="n">
        <v>24</v>
      </c>
      <c r="D28" s="3" t="s">
        <v>17</v>
      </c>
      <c r="E28" s="3" t="s">
        <v>36</v>
      </c>
      <c r="F28" s="4" t="n">
        <v>45698</v>
      </c>
      <c r="G28" s="4" t="n">
        <v>45726</v>
      </c>
      <c r="H28" s="5" t="n">
        <v>2500</v>
      </c>
      <c r="I28" s="3" t="n">
        <v>28</v>
      </c>
      <c r="J28" s="3" t="s">
        <v>40</v>
      </c>
      <c r="K28" s="3"/>
      <c r="L28" s="3" t="n">
        <f aca="false">INT((G28-F28)/30)</f>
        <v>0</v>
      </c>
      <c r="M28" s="3" t="str">
        <f aca="false">IF(K28&lt;&gt;"","Yes","No")</f>
        <v>No</v>
      </c>
      <c r="N28" s="5" t="n">
        <f aca="false">H28*L28</f>
        <v>0</v>
      </c>
      <c r="O28" s="3" t="str">
        <f aca="false">IF(C28&lt;=30,"Youth",IF(C28&lt;=45,"Adults","Seniors"))</f>
        <v>Youth</v>
      </c>
    </row>
    <row r="29" customFormat="false" ht="15" hidden="false" customHeight="true" outlineLevel="0" collapsed="false">
      <c r="A29" s="6" t="s">
        <v>93</v>
      </c>
      <c r="B29" s="6" t="s">
        <v>94</v>
      </c>
      <c r="C29" s="6" t="n">
        <v>53</v>
      </c>
      <c r="D29" s="6" t="s">
        <v>17</v>
      </c>
      <c r="E29" s="6" t="s">
        <v>27</v>
      </c>
      <c r="F29" s="7" t="n">
        <v>45614</v>
      </c>
      <c r="G29" s="7" t="n">
        <v>45645</v>
      </c>
      <c r="H29" s="8" t="n">
        <v>1200</v>
      </c>
      <c r="I29" s="6" t="n">
        <v>23</v>
      </c>
      <c r="J29" s="6" t="s">
        <v>23</v>
      </c>
      <c r="K29" s="6"/>
      <c r="L29" s="6" t="n">
        <f aca="false">INT((G29-F29)/30)</f>
        <v>1</v>
      </c>
      <c r="M29" s="6" t="str">
        <f aca="false">IF(K29&lt;&gt;"","Yes","No")</f>
        <v>No</v>
      </c>
      <c r="N29" s="8" t="n">
        <f aca="false">H29*L29</f>
        <v>1200</v>
      </c>
      <c r="O29" s="6" t="str">
        <f aca="false">IF(C29&lt;=30,"Youth",IF(C29&lt;=45,"Adults","Seniors"))</f>
        <v>Seniors</v>
      </c>
    </row>
    <row r="30" customFormat="false" ht="15" hidden="false" customHeight="true" outlineLevel="0" collapsed="false">
      <c r="A30" s="3" t="s">
        <v>95</v>
      </c>
      <c r="B30" s="3" t="s">
        <v>96</v>
      </c>
      <c r="C30" s="3" t="n">
        <v>29</v>
      </c>
      <c r="D30" s="3" t="s">
        <v>32</v>
      </c>
      <c r="E30" s="3" t="s">
        <v>36</v>
      </c>
      <c r="F30" s="4" t="n">
        <v>45401</v>
      </c>
      <c r="G30" s="4" t="n">
        <v>45408</v>
      </c>
      <c r="H30" s="5" t="n">
        <v>2500</v>
      </c>
      <c r="I30" s="3" t="n">
        <v>8</v>
      </c>
      <c r="J30" s="3" t="s">
        <v>28</v>
      </c>
      <c r="K30" s="3"/>
      <c r="L30" s="3" t="n">
        <f aca="false">INT((G30-F30)/30)</f>
        <v>0</v>
      </c>
      <c r="M30" s="3" t="str">
        <f aca="false">IF(K30&lt;&gt;"","Yes","No")</f>
        <v>No</v>
      </c>
      <c r="N30" s="5" t="n">
        <f aca="false">H30*L30</f>
        <v>0</v>
      </c>
      <c r="O30" s="3" t="str">
        <f aca="false">IF(C30&lt;=30,"Youth",IF(C30&lt;=45,"Adults","Seniors"))</f>
        <v>Youth</v>
      </c>
    </row>
    <row r="31" customFormat="false" ht="15" hidden="false" customHeight="true" outlineLevel="0" collapsed="false">
      <c r="A31" s="6" t="s">
        <v>97</v>
      </c>
      <c r="B31" s="6" t="s">
        <v>98</v>
      </c>
      <c r="C31" s="6" t="n">
        <v>31</v>
      </c>
      <c r="D31" s="6" t="s">
        <v>32</v>
      </c>
      <c r="E31" s="6" t="s">
        <v>36</v>
      </c>
      <c r="F31" s="7" t="n">
        <v>45667</v>
      </c>
      <c r="G31" s="7" t="n">
        <v>45745</v>
      </c>
      <c r="H31" s="8" t="n">
        <v>2500</v>
      </c>
      <c r="I31" s="6" t="n">
        <v>23</v>
      </c>
      <c r="J31" s="6" t="s">
        <v>47</v>
      </c>
      <c r="K31" s="6" t="s">
        <v>99</v>
      </c>
      <c r="L31" s="6" t="n">
        <f aca="false">INT((G31-F31)/30)</f>
        <v>2</v>
      </c>
      <c r="M31" s="6" t="str">
        <f aca="false">IF(K31&lt;&gt;"","Yes","No")</f>
        <v>Yes</v>
      </c>
      <c r="N31" s="8" t="n">
        <f aca="false">H31*L31</f>
        <v>5000</v>
      </c>
      <c r="O31" s="6" t="str">
        <f aca="false">IF(C31&lt;=30,"Youth",IF(C31&lt;=45,"Adults","Seniors"))</f>
        <v>Adults</v>
      </c>
    </row>
    <row r="32" customFormat="false" ht="15" hidden="false" customHeight="true" outlineLevel="0" collapsed="false">
      <c r="A32" s="3" t="s">
        <v>100</v>
      </c>
      <c r="B32" s="3" t="s">
        <v>101</v>
      </c>
      <c r="C32" s="3" t="n">
        <v>52</v>
      </c>
      <c r="D32" s="3" t="s">
        <v>32</v>
      </c>
      <c r="E32" s="3" t="s">
        <v>18</v>
      </c>
      <c r="F32" s="4" t="n">
        <v>45088</v>
      </c>
      <c r="G32" s="4" t="n">
        <v>45656</v>
      </c>
      <c r="H32" s="5" t="n">
        <v>800</v>
      </c>
      <c r="I32" s="3" t="n">
        <v>9</v>
      </c>
      <c r="J32" s="3" t="s">
        <v>72</v>
      </c>
      <c r="K32" s="3" t="s">
        <v>102</v>
      </c>
      <c r="L32" s="3" t="n">
        <f aca="false">INT((G32-F32)/30)</f>
        <v>18</v>
      </c>
      <c r="M32" s="3" t="str">
        <f aca="false">IF(K32&lt;&gt;"","Yes","No")</f>
        <v>Yes</v>
      </c>
      <c r="N32" s="5" t="n">
        <f aca="false">H32*L32</f>
        <v>14400</v>
      </c>
      <c r="O32" s="3" t="str">
        <f aca="false">IF(C32&lt;=30,"Youth",IF(C32&lt;=45,"Adults","Seniors"))</f>
        <v>Seniors</v>
      </c>
    </row>
    <row r="33" customFormat="false" ht="15" hidden="false" customHeight="true" outlineLevel="0" collapsed="false">
      <c r="A33" s="6" t="s">
        <v>103</v>
      </c>
      <c r="B33" s="6" t="s">
        <v>104</v>
      </c>
      <c r="C33" s="6" t="n">
        <v>20</v>
      </c>
      <c r="D33" s="6" t="s">
        <v>17</v>
      </c>
      <c r="E33" s="6" t="s">
        <v>27</v>
      </c>
      <c r="F33" s="7" t="n">
        <v>45391</v>
      </c>
      <c r="G33" s="7" t="n">
        <v>45604</v>
      </c>
      <c r="H33" s="8" t="n">
        <v>1200</v>
      </c>
      <c r="I33" s="6" t="n">
        <v>2</v>
      </c>
      <c r="J33" s="6" t="s">
        <v>40</v>
      </c>
      <c r="K33" s="6"/>
      <c r="L33" s="6" t="n">
        <f aca="false">INT((G33-F33)/30)</f>
        <v>7</v>
      </c>
      <c r="M33" s="6" t="str">
        <f aca="false">IF(K33&lt;&gt;"","Yes","No")</f>
        <v>No</v>
      </c>
      <c r="N33" s="8" t="n">
        <f aca="false">H33*L33</f>
        <v>8400</v>
      </c>
      <c r="O33" s="6" t="str">
        <f aca="false">IF(C33&lt;=30,"Youth",IF(C33&lt;=45,"Adults","Seniors"))</f>
        <v>Youth</v>
      </c>
    </row>
    <row r="34" customFormat="false" ht="15" hidden="false" customHeight="true" outlineLevel="0" collapsed="false">
      <c r="A34" s="3" t="s">
        <v>105</v>
      </c>
      <c r="B34" s="3" t="s">
        <v>106</v>
      </c>
      <c r="C34" s="3" t="n">
        <v>22</v>
      </c>
      <c r="D34" s="3" t="s">
        <v>17</v>
      </c>
      <c r="E34" s="3" t="s">
        <v>18</v>
      </c>
      <c r="F34" s="4" t="n">
        <v>45699</v>
      </c>
      <c r="G34" s="4" t="n">
        <v>45740</v>
      </c>
      <c r="H34" s="5" t="n">
        <v>800</v>
      </c>
      <c r="I34" s="3" t="n">
        <v>30</v>
      </c>
      <c r="J34" s="3" t="s">
        <v>40</v>
      </c>
      <c r="K34" s="3"/>
      <c r="L34" s="3" t="n">
        <f aca="false">INT((G34-F34)/30)</f>
        <v>1</v>
      </c>
      <c r="M34" s="3" t="str">
        <f aca="false">IF(K34&lt;&gt;"","Yes","No")</f>
        <v>No</v>
      </c>
      <c r="N34" s="5" t="n">
        <f aca="false">H34*L34</f>
        <v>800</v>
      </c>
      <c r="O34" s="3" t="str">
        <f aca="false">IF(C34&lt;=30,"Youth",IF(C34&lt;=45,"Adults","Seniors"))</f>
        <v>Youth</v>
      </c>
    </row>
    <row r="35" customFormat="false" ht="15" hidden="false" customHeight="true" outlineLevel="0" collapsed="false">
      <c r="A35" s="6" t="s">
        <v>107</v>
      </c>
      <c r="B35" s="6" t="s">
        <v>108</v>
      </c>
      <c r="C35" s="6" t="n">
        <v>23</v>
      </c>
      <c r="D35" s="6" t="s">
        <v>17</v>
      </c>
      <c r="E35" s="6" t="s">
        <v>46</v>
      </c>
      <c r="F35" s="7" t="n">
        <v>45588</v>
      </c>
      <c r="G35" s="7" t="n">
        <v>45721</v>
      </c>
      <c r="H35" s="8" t="n">
        <v>1800</v>
      </c>
      <c r="I35" s="6" t="n">
        <v>23</v>
      </c>
      <c r="J35" s="6" t="s">
        <v>23</v>
      </c>
      <c r="K35" s="6" t="s">
        <v>109</v>
      </c>
      <c r="L35" s="6" t="n">
        <f aca="false">INT((G35-F35)/30)</f>
        <v>4</v>
      </c>
      <c r="M35" s="6" t="str">
        <f aca="false">IF(K35&lt;&gt;"","Yes","No")</f>
        <v>Yes</v>
      </c>
      <c r="N35" s="8" t="n">
        <f aca="false">H35*L35</f>
        <v>7200</v>
      </c>
      <c r="O35" s="6" t="str">
        <f aca="false">IF(C35&lt;=30,"Youth",IF(C35&lt;=45,"Adults","Seniors"))</f>
        <v>Youth</v>
      </c>
    </row>
    <row r="36" customFormat="false" ht="15" hidden="false" customHeight="true" outlineLevel="0" collapsed="false">
      <c r="A36" s="3" t="s">
        <v>110</v>
      </c>
      <c r="B36" s="3" t="s">
        <v>111</v>
      </c>
      <c r="C36" s="3" t="n">
        <v>27</v>
      </c>
      <c r="D36" s="3" t="s">
        <v>32</v>
      </c>
      <c r="E36" s="3" t="s">
        <v>27</v>
      </c>
      <c r="F36" s="4" t="n">
        <v>45312</v>
      </c>
      <c r="G36" s="4" t="n">
        <v>45652</v>
      </c>
      <c r="H36" s="5" t="n">
        <v>1200</v>
      </c>
      <c r="I36" s="3" t="n">
        <v>27</v>
      </c>
      <c r="J36" s="3" t="s">
        <v>23</v>
      </c>
      <c r="K36" s="3"/>
      <c r="L36" s="3" t="n">
        <f aca="false">INT((G36-F36)/30)</f>
        <v>11</v>
      </c>
      <c r="M36" s="3" t="str">
        <f aca="false">IF(K36&lt;&gt;"","Yes","No")</f>
        <v>No</v>
      </c>
      <c r="N36" s="5" t="n">
        <f aca="false">H36*L36</f>
        <v>13200</v>
      </c>
      <c r="O36" s="3" t="str">
        <f aca="false">IF(C36&lt;=30,"Youth",IF(C36&lt;=45,"Adults","Seniors"))</f>
        <v>Youth</v>
      </c>
    </row>
    <row r="38" customFormat="false" ht="15" hidden="false" customHeight="true" outlineLevel="0" collapsed="false">
      <c r="A38" s="9" t="s">
        <v>112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</row>
  </sheetData>
  <mergeCells count="1">
    <mergeCell ref="A38:O38"/>
  </mergeCells>
  <conditionalFormatting sqref="A2:O36">
    <cfRule type="expression" priority="2" aboveAverage="0" equalAverage="0" bottom="0" percent="0" rank="0" text="" dxfId="0">
      <formula>AND($I2&lt;8,$L2&gt;=6)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3" min="2" style="1" width="18"/>
    <col collapsed="false" customWidth="true" hidden="false" outlineLevel="0" max="4" min="4" style="1" width="28"/>
    <col collapsed="false" customWidth="true" hidden="false" outlineLevel="0" max="5" min="5" style="1" width="30"/>
  </cols>
  <sheetData>
    <row r="1" customFormat="false" ht="27.75" hidden="false" customHeight="true" outlineLevel="0" collapsed="false">
      <c r="A1" s="10" t="s">
        <v>113</v>
      </c>
      <c r="B1" s="10"/>
      <c r="C1" s="10"/>
      <c r="D1" s="10"/>
      <c r="E1" s="10"/>
    </row>
    <row r="2" customFormat="false" ht="15" hidden="false" customHeight="true" outlineLevel="0" collapsed="false">
      <c r="A2" s="11" t="s">
        <v>114</v>
      </c>
      <c r="B2" s="12" t="s">
        <v>115</v>
      </c>
      <c r="C2" s="12"/>
      <c r="D2" s="12"/>
      <c r="E2" s="12"/>
    </row>
    <row r="3" customFormat="false" ht="15" hidden="false" customHeight="true" outlineLevel="0" collapsed="false">
      <c r="A3" s="11" t="s">
        <v>116</v>
      </c>
      <c r="B3" s="13" t="s">
        <v>117</v>
      </c>
      <c r="C3" s="13"/>
      <c r="D3" s="13"/>
      <c r="E3" s="13"/>
    </row>
    <row r="4" customFormat="false" ht="7.5" hidden="false" customHeight="true" outlineLevel="0" collapsed="false"/>
    <row r="5" customFormat="false" ht="15" hidden="false" customHeight="true" outlineLevel="0" collapsed="false">
      <c r="A5" s="2" t="s">
        <v>0</v>
      </c>
      <c r="B5" s="2" t="s">
        <v>1</v>
      </c>
      <c r="C5" s="2" t="s">
        <v>5</v>
      </c>
      <c r="D5" s="2" t="s">
        <v>6</v>
      </c>
      <c r="E5" s="2" t="s">
        <v>118</v>
      </c>
    </row>
    <row r="6" customFormat="false" ht="15" hidden="false" customHeight="true" outlineLevel="0" collapsed="false">
      <c r="A6" s="14" t="s">
        <v>15</v>
      </c>
      <c r="B6" s="14" t="s">
        <v>16</v>
      </c>
      <c r="C6" s="15" t="n">
        <v>45235</v>
      </c>
      <c r="D6" s="15" t="n">
        <v>45425</v>
      </c>
      <c r="E6" s="14" t="n">
        <f aca="false">INT((D6-C6)/30)</f>
        <v>6</v>
      </c>
    </row>
    <row r="7" customFormat="false" ht="15" hidden="false" customHeight="true" outlineLevel="0" collapsed="false">
      <c r="A7" s="16" t="s">
        <v>21</v>
      </c>
      <c r="B7" s="16" t="s">
        <v>22</v>
      </c>
      <c r="C7" s="17" t="n">
        <v>45714</v>
      </c>
      <c r="D7" s="17" t="n">
        <v>45740</v>
      </c>
      <c r="E7" s="16" t="n">
        <f aca="false">INT((D7-C7)/30)</f>
        <v>0</v>
      </c>
    </row>
    <row r="8" customFormat="false" ht="15" hidden="false" customHeight="true" outlineLevel="0" collapsed="false">
      <c r="A8" s="14" t="s">
        <v>25</v>
      </c>
      <c r="B8" s="14" t="s">
        <v>26</v>
      </c>
      <c r="C8" s="15" t="n">
        <v>45191</v>
      </c>
      <c r="D8" s="15" t="n">
        <v>45371</v>
      </c>
      <c r="E8" s="14" t="n">
        <f aca="false">INT((D8-C8)/30)</f>
        <v>6</v>
      </c>
    </row>
    <row r="9" customFormat="false" ht="15" hidden="false" customHeight="true" outlineLevel="0" collapsed="false">
      <c r="A9" s="16" t="s">
        <v>30</v>
      </c>
      <c r="B9" s="16" t="s">
        <v>31</v>
      </c>
      <c r="C9" s="17" t="n">
        <v>45479</v>
      </c>
      <c r="D9" s="17" t="n">
        <v>45587</v>
      </c>
      <c r="E9" s="16" t="n">
        <f aca="false">INT((D9-C9)/30)</f>
        <v>3</v>
      </c>
    </row>
    <row r="10" customFormat="false" ht="15" hidden="false" customHeight="true" outlineLevel="0" collapsed="false">
      <c r="A10" s="14" t="s">
        <v>34</v>
      </c>
      <c r="B10" s="14" t="s">
        <v>35</v>
      </c>
      <c r="C10" s="15" t="n">
        <v>45286</v>
      </c>
      <c r="D10" s="15" t="n">
        <v>45501</v>
      </c>
      <c r="E10" s="14" t="n">
        <f aca="false">INT((D10-C10)/30)</f>
        <v>7</v>
      </c>
    </row>
    <row r="11" customFormat="false" ht="15" hidden="false" customHeight="true" outlineLevel="0" collapsed="false">
      <c r="A11" s="16" t="s">
        <v>38</v>
      </c>
      <c r="B11" s="16" t="s">
        <v>39</v>
      </c>
      <c r="C11" s="17" t="n">
        <v>45317</v>
      </c>
      <c r="D11" s="17" t="n">
        <v>45392</v>
      </c>
      <c r="E11" s="16" t="n">
        <f aca="false">INT((D11-C11)/30)</f>
        <v>2</v>
      </c>
    </row>
    <row r="12" customFormat="false" ht="15" hidden="false" customHeight="true" outlineLevel="0" collapsed="false">
      <c r="A12" s="14" t="s">
        <v>42</v>
      </c>
      <c r="B12" s="14" t="s">
        <v>43</v>
      </c>
      <c r="C12" s="15" t="n">
        <v>45588</v>
      </c>
      <c r="D12" s="15" t="n">
        <v>45677</v>
      </c>
      <c r="E12" s="14" t="n">
        <f aca="false">INT((D12-C12)/30)</f>
        <v>2</v>
      </c>
    </row>
    <row r="13" customFormat="false" ht="15" hidden="false" customHeight="true" outlineLevel="0" collapsed="false">
      <c r="A13" s="16" t="s">
        <v>44</v>
      </c>
      <c r="B13" s="16" t="s">
        <v>45</v>
      </c>
      <c r="C13" s="17" t="n">
        <v>45450</v>
      </c>
      <c r="D13" s="17" t="n">
        <v>45563</v>
      </c>
      <c r="E13" s="16" t="n">
        <f aca="false">INT((D13-C13)/30)</f>
        <v>3</v>
      </c>
    </row>
    <row r="14" customFormat="false" ht="15" hidden="false" customHeight="true" outlineLevel="0" collapsed="false">
      <c r="A14" s="14" t="s">
        <v>48</v>
      </c>
      <c r="B14" s="14" t="s">
        <v>49</v>
      </c>
      <c r="C14" s="15" t="n">
        <v>45569</v>
      </c>
      <c r="D14" s="15" t="n">
        <v>45582</v>
      </c>
      <c r="E14" s="14" t="n">
        <f aca="false">INT((D14-C14)/30)</f>
        <v>0</v>
      </c>
    </row>
    <row r="15" customFormat="false" ht="15" hidden="false" customHeight="true" outlineLevel="0" collapsed="false">
      <c r="A15" s="16" t="s">
        <v>51</v>
      </c>
      <c r="B15" s="16" t="s">
        <v>52</v>
      </c>
      <c r="C15" s="17" t="n">
        <v>45202</v>
      </c>
      <c r="D15" s="17" t="n">
        <v>45280</v>
      </c>
      <c r="E15" s="16" t="n">
        <f aca="false">INT((D15-C15)/30)</f>
        <v>2</v>
      </c>
    </row>
    <row r="16" customFormat="false" ht="15" hidden="false" customHeight="true" outlineLevel="0" collapsed="false">
      <c r="A16" s="14" t="s">
        <v>54</v>
      </c>
      <c r="B16" s="14" t="s">
        <v>55</v>
      </c>
      <c r="C16" s="15" t="n">
        <v>45297</v>
      </c>
      <c r="D16" s="15" t="n">
        <v>45459</v>
      </c>
      <c r="E16" s="14" t="n">
        <f aca="false">INT((D16-C16)/30)</f>
        <v>5</v>
      </c>
    </row>
    <row r="17" customFormat="false" ht="15" hidden="false" customHeight="true" outlineLevel="0" collapsed="false">
      <c r="A17" s="16" t="s">
        <v>57</v>
      </c>
      <c r="B17" s="16" t="s">
        <v>58</v>
      </c>
      <c r="C17" s="17" t="n">
        <v>45154</v>
      </c>
      <c r="D17" s="17" t="n">
        <v>45568</v>
      </c>
      <c r="E17" s="16" t="n">
        <f aca="false">INT((D17-C17)/30)</f>
        <v>13</v>
      </c>
    </row>
    <row r="18" customFormat="false" ht="15" hidden="false" customHeight="true" outlineLevel="0" collapsed="false">
      <c r="A18" s="14" t="s">
        <v>60</v>
      </c>
      <c r="B18" s="14" t="s">
        <v>61</v>
      </c>
      <c r="C18" s="15" t="n">
        <v>45556</v>
      </c>
      <c r="D18" s="15" t="n">
        <v>45641</v>
      </c>
      <c r="E18" s="14" t="n">
        <f aca="false">INT((D18-C18)/30)</f>
        <v>2</v>
      </c>
    </row>
    <row r="19" customFormat="false" ht="15" hidden="false" customHeight="true" outlineLevel="0" collapsed="false">
      <c r="A19" s="16" t="s">
        <v>62</v>
      </c>
      <c r="B19" s="16" t="s">
        <v>63</v>
      </c>
      <c r="C19" s="17" t="n">
        <v>45065</v>
      </c>
      <c r="D19" s="17" t="n">
        <v>45242</v>
      </c>
      <c r="E19" s="16" t="n">
        <f aca="false">INT((D19-C19)/30)</f>
        <v>5</v>
      </c>
    </row>
    <row r="20" customFormat="false" ht="15" hidden="false" customHeight="true" outlineLevel="0" collapsed="false">
      <c r="A20" s="14" t="s">
        <v>64</v>
      </c>
      <c r="B20" s="14" t="s">
        <v>65</v>
      </c>
      <c r="C20" s="15" t="n">
        <v>45333</v>
      </c>
      <c r="D20" s="15" t="n">
        <v>45540</v>
      </c>
      <c r="E20" s="14" t="n">
        <f aca="false">INT((D20-C20)/30)</f>
        <v>6</v>
      </c>
    </row>
    <row r="21" customFormat="false" ht="15" hidden="false" customHeight="true" outlineLevel="0" collapsed="false">
      <c r="A21" s="16" t="s">
        <v>66</v>
      </c>
      <c r="B21" s="16" t="s">
        <v>67</v>
      </c>
      <c r="C21" s="17" t="n">
        <v>45702</v>
      </c>
      <c r="D21" s="17" t="n">
        <v>45732</v>
      </c>
      <c r="E21" s="16" t="n">
        <f aca="false">INT((D21-C21)/30)</f>
        <v>1</v>
      </c>
    </row>
    <row r="22" customFormat="false" ht="15" hidden="false" customHeight="true" outlineLevel="0" collapsed="false">
      <c r="A22" s="14" t="s">
        <v>68</v>
      </c>
      <c r="B22" s="14" t="s">
        <v>69</v>
      </c>
      <c r="C22" s="15" t="n">
        <v>45329</v>
      </c>
      <c r="D22" s="15" t="n">
        <v>45685</v>
      </c>
      <c r="E22" s="14" t="n">
        <f aca="false">INT((D22-C22)/30)</f>
        <v>11</v>
      </c>
    </row>
    <row r="23" customFormat="false" ht="15" hidden="false" customHeight="true" outlineLevel="0" collapsed="false">
      <c r="A23" s="16" t="s">
        <v>70</v>
      </c>
      <c r="B23" s="16" t="s">
        <v>71</v>
      </c>
      <c r="C23" s="17" t="n">
        <v>45213</v>
      </c>
      <c r="D23" s="17" t="n">
        <v>45649</v>
      </c>
      <c r="E23" s="16" t="n">
        <f aca="false">INT((D23-C23)/30)</f>
        <v>14</v>
      </c>
    </row>
    <row r="24" customFormat="false" ht="15" hidden="false" customHeight="true" outlineLevel="0" collapsed="false">
      <c r="A24" s="14" t="s">
        <v>73</v>
      </c>
      <c r="B24" s="14" t="s">
        <v>74</v>
      </c>
      <c r="C24" s="15" t="n">
        <v>45354</v>
      </c>
      <c r="D24" s="15" t="n">
        <v>45664</v>
      </c>
      <c r="E24" s="14" t="n">
        <f aca="false">INT((D24-C24)/30)</f>
        <v>10</v>
      </c>
    </row>
    <row r="25" customFormat="false" ht="15" hidden="false" customHeight="true" outlineLevel="0" collapsed="false">
      <c r="A25" s="16" t="s">
        <v>75</v>
      </c>
      <c r="B25" s="16" t="s">
        <v>76</v>
      </c>
      <c r="C25" s="17" t="n">
        <v>45417</v>
      </c>
      <c r="D25" s="17" t="n">
        <v>45608</v>
      </c>
      <c r="E25" s="16" t="n">
        <f aca="false">INT((D25-C25)/30)</f>
        <v>6</v>
      </c>
    </row>
    <row r="26" customFormat="false" ht="15" hidden="false" customHeight="true" outlineLevel="0" collapsed="false">
      <c r="A26" s="14" t="s">
        <v>78</v>
      </c>
      <c r="B26" s="14" t="s">
        <v>79</v>
      </c>
      <c r="C26" s="15" t="n">
        <v>45146</v>
      </c>
      <c r="D26" s="15" t="n">
        <v>45674</v>
      </c>
      <c r="E26" s="14" t="n">
        <f aca="false">INT((D26-C26)/30)</f>
        <v>17</v>
      </c>
    </row>
    <row r="27" customFormat="false" ht="15" hidden="false" customHeight="true" outlineLevel="0" collapsed="false">
      <c r="A27" s="16" t="s">
        <v>80</v>
      </c>
      <c r="B27" s="16" t="s">
        <v>81</v>
      </c>
      <c r="C27" s="17" t="n">
        <v>45320</v>
      </c>
      <c r="D27" s="17" t="n">
        <v>45616</v>
      </c>
      <c r="E27" s="16" t="n">
        <f aca="false">INT((D27-C27)/30)</f>
        <v>9</v>
      </c>
    </row>
    <row r="28" customFormat="false" ht="15" hidden="false" customHeight="true" outlineLevel="0" collapsed="false">
      <c r="A28" s="14" t="s">
        <v>82</v>
      </c>
      <c r="B28" s="14" t="s">
        <v>83</v>
      </c>
      <c r="C28" s="15" t="n">
        <v>45451</v>
      </c>
      <c r="D28" s="15" t="n">
        <v>45455</v>
      </c>
      <c r="E28" s="14" t="n">
        <f aca="false">INT((D28-C28)/30)</f>
        <v>0</v>
      </c>
    </row>
    <row r="29" customFormat="false" ht="15" hidden="false" customHeight="true" outlineLevel="0" collapsed="false">
      <c r="A29" s="16" t="s">
        <v>84</v>
      </c>
      <c r="B29" s="16" t="s">
        <v>85</v>
      </c>
      <c r="C29" s="17" t="n">
        <v>45439</v>
      </c>
      <c r="D29" s="17" t="n">
        <v>45730</v>
      </c>
      <c r="E29" s="16" t="n">
        <f aca="false">INT((D29-C29)/30)</f>
        <v>9</v>
      </c>
    </row>
    <row r="30" customFormat="false" ht="15" hidden="false" customHeight="true" outlineLevel="0" collapsed="false">
      <c r="A30" s="14" t="s">
        <v>86</v>
      </c>
      <c r="B30" s="14" t="s">
        <v>87</v>
      </c>
      <c r="C30" s="15" t="n">
        <v>45286</v>
      </c>
      <c r="D30" s="15" t="n">
        <v>45372</v>
      </c>
      <c r="E30" s="14" t="n">
        <f aca="false">INT((D30-C30)/30)</f>
        <v>2</v>
      </c>
    </row>
    <row r="31" customFormat="false" ht="15" hidden="false" customHeight="true" outlineLevel="0" collapsed="false">
      <c r="A31" s="16" t="s">
        <v>89</v>
      </c>
      <c r="B31" s="16" t="s">
        <v>90</v>
      </c>
      <c r="C31" s="17" t="n">
        <v>45702</v>
      </c>
      <c r="D31" s="17" t="n">
        <v>45727</v>
      </c>
      <c r="E31" s="16" t="n">
        <f aca="false">INT((D31-C31)/30)</f>
        <v>0</v>
      </c>
    </row>
    <row r="32" customFormat="false" ht="15" hidden="false" customHeight="true" outlineLevel="0" collapsed="false">
      <c r="A32" s="14" t="s">
        <v>91</v>
      </c>
      <c r="B32" s="14" t="s">
        <v>92</v>
      </c>
      <c r="C32" s="15" t="n">
        <v>45698</v>
      </c>
      <c r="D32" s="15" t="n">
        <v>45726</v>
      </c>
      <c r="E32" s="14" t="n">
        <f aca="false">INT((D32-C32)/30)</f>
        <v>0</v>
      </c>
    </row>
    <row r="33" customFormat="false" ht="15" hidden="false" customHeight="true" outlineLevel="0" collapsed="false">
      <c r="A33" s="16" t="s">
        <v>93</v>
      </c>
      <c r="B33" s="16" t="s">
        <v>94</v>
      </c>
      <c r="C33" s="17" t="n">
        <v>45614</v>
      </c>
      <c r="D33" s="17" t="n">
        <v>45645</v>
      </c>
      <c r="E33" s="16" t="n">
        <f aca="false">INT((D33-C33)/30)</f>
        <v>1</v>
      </c>
    </row>
    <row r="34" customFormat="false" ht="15" hidden="false" customHeight="true" outlineLevel="0" collapsed="false">
      <c r="A34" s="14" t="s">
        <v>95</v>
      </c>
      <c r="B34" s="14" t="s">
        <v>96</v>
      </c>
      <c r="C34" s="15" t="n">
        <v>45401</v>
      </c>
      <c r="D34" s="15" t="n">
        <v>45408</v>
      </c>
      <c r="E34" s="14" t="n">
        <f aca="false">INT((D34-C34)/30)</f>
        <v>0</v>
      </c>
    </row>
    <row r="35" customFormat="false" ht="15" hidden="false" customHeight="true" outlineLevel="0" collapsed="false">
      <c r="A35" s="16" t="s">
        <v>97</v>
      </c>
      <c r="B35" s="16" t="s">
        <v>98</v>
      </c>
      <c r="C35" s="17" t="n">
        <v>45667</v>
      </c>
      <c r="D35" s="17" t="n">
        <v>45745</v>
      </c>
      <c r="E35" s="16" t="n">
        <f aca="false">INT((D35-C35)/30)</f>
        <v>2</v>
      </c>
    </row>
    <row r="36" customFormat="false" ht="15" hidden="false" customHeight="true" outlineLevel="0" collapsed="false">
      <c r="A36" s="14" t="s">
        <v>100</v>
      </c>
      <c r="B36" s="14" t="s">
        <v>101</v>
      </c>
      <c r="C36" s="15" t="n">
        <v>45088</v>
      </c>
      <c r="D36" s="15" t="n">
        <v>45656</v>
      </c>
      <c r="E36" s="14" t="n">
        <f aca="false">INT((D36-C36)/30)</f>
        <v>18</v>
      </c>
    </row>
    <row r="37" customFormat="false" ht="15" hidden="false" customHeight="true" outlineLevel="0" collapsed="false">
      <c r="A37" s="16" t="s">
        <v>103</v>
      </c>
      <c r="B37" s="16" t="s">
        <v>104</v>
      </c>
      <c r="C37" s="17" t="n">
        <v>45391</v>
      </c>
      <c r="D37" s="17" t="n">
        <v>45604</v>
      </c>
      <c r="E37" s="16" t="n">
        <f aca="false">INT((D37-C37)/30)</f>
        <v>7</v>
      </c>
    </row>
    <row r="38" customFormat="false" ht="15" hidden="false" customHeight="true" outlineLevel="0" collapsed="false">
      <c r="A38" s="14" t="s">
        <v>105</v>
      </c>
      <c r="B38" s="14" t="s">
        <v>106</v>
      </c>
      <c r="C38" s="15" t="n">
        <v>45699</v>
      </c>
      <c r="D38" s="15" t="n">
        <v>45740</v>
      </c>
      <c r="E38" s="14" t="n">
        <f aca="false">INT((D38-C38)/30)</f>
        <v>1</v>
      </c>
    </row>
    <row r="39" customFormat="false" ht="15" hidden="false" customHeight="true" outlineLevel="0" collapsed="false">
      <c r="A39" s="16" t="s">
        <v>107</v>
      </c>
      <c r="B39" s="16" t="s">
        <v>108</v>
      </c>
      <c r="C39" s="17" t="n">
        <v>45588</v>
      </c>
      <c r="D39" s="17" t="n">
        <v>45721</v>
      </c>
      <c r="E39" s="16" t="n">
        <f aca="false">INT((D39-C39)/30)</f>
        <v>4</v>
      </c>
    </row>
    <row r="40" customFormat="false" ht="15" hidden="false" customHeight="true" outlineLevel="0" collapsed="false">
      <c r="A40" s="14" t="s">
        <v>110</v>
      </c>
      <c r="B40" s="14" t="s">
        <v>111</v>
      </c>
      <c r="C40" s="15" t="n">
        <v>45312</v>
      </c>
      <c r="D40" s="15" t="n">
        <v>45652</v>
      </c>
      <c r="E40" s="14" t="n">
        <f aca="false">INT((D40-C40)/30)</f>
        <v>11</v>
      </c>
    </row>
  </sheetData>
  <mergeCells count="3">
    <mergeCell ref="A1:E1"/>
    <mergeCell ref="B2:E2"/>
    <mergeCell ref="B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3" min="2" style="1" width="22"/>
    <col collapsed="false" customWidth="true" hidden="false" outlineLevel="0" max="5" min="4" style="1" width="18"/>
    <col collapsed="false" customWidth="true" hidden="false" outlineLevel="0" max="8" min="7" style="1" width="22"/>
  </cols>
  <sheetData>
    <row r="1" customFormat="false" ht="27.75" hidden="false" customHeight="true" outlineLevel="0" collapsed="false">
      <c r="A1" s="10" t="s">
        <v>119</v>
      </c>
      <c r="B1" s="10"/>
      <c r="C1" s="10"/>
      <c r="D1" s="10"/>
      <c r="E1" s="10"/>
    </row>
    <row r="2" customFormat="false" ht="15" hidden="false" customHeight="true" outlineLevel="0" collapsed="false">
      <c r="A2" s="11" t="s">
        <v>120</v>
      </c>
      <c r="B2" s="12" t="s">
        <v>121</v>
      </c>
      <c r="C2" s="12"/>
      <c r="D2" s="12"/>
      <c r="E2" s="12"/>
    </row>
    <row r="3" customFormat="false" ht="7.5" hidden="false" customHeight="true" outlineLevel="0" collapsed="false"/>
    <row r="4" customFormat="false" ht="26.25" hidden="false" customHeight="true" outlineLevel="0" collapsed="false">
      <c r="A4" s="2" t="s">
        <v>0</v>
      </c>
      <c r="B4" s="2" t="s">
        <v>1</v>
      </c>
      <c r="C4" s="2" t="s">
        <v>10</v>
      </c>
      <c r="D4" s="2" t="s">
        <v>122</v>
      </c>
      <c r="E4" s="2" t="s">
        <v>7</v>
      </c>
    </row>
    <row r="5" customFormat="false" ht="15" hidden="false" customHeight="true" outlineLevel="0" collapsed="false">
      <c r="A5" s="16" t="s">
        <v>15</v>
      </c>
      <c r="B5" s="16" t="s">
        <v>16</v>
      </c>
      <c r="C5" s="16" t="s">
        <v>20</v>
      </c>
      <c r="D5" s="16" t="str">
        <f aca="false">IF(C5&lt;&gt;"","Yes","No")</f>
        <v>Yes</v>
      </c>
      <c r="E5" s="18" t="n">
        <v>800</v>
      </c>
    </row>
    <row r="6" customFormat="false" ht="15" hidden="false" customHeight="true" outlineLevel="0" collapsed="false">
      <c r="A6" s="14" t="s">
        <v>21</v>
      </c>
      <c r="B6" s="14" t="s">
        <v>22</v>
      </c>
      <c r="C6" s="14" t="s">
        <v>24</v>
      </c>
      <c r="D6" s="14" t="str">
        <f aca="false">IF(C6&lt;&gt;"","Yes","No")</f>
        <v>Yes</v>
      </c>
      <c r="E6" s="19" t="n">
        <v>800</v>
      </c>
    </row>
    <row r="7" customFormat="false" ht="15" hidden="false" customHeight="true" outlineLevel="0" collapsed="false">
      <c r="A7" s="16" t="s">
        <v>25</v>
      </c>
      <c r="B7" s="16" t="s">
        <v>26</v>
      </c>
      <c r="C7" s="16" t="s">
        <v>29</v>
      </c>
      <c r="D7" s="16" t="str">
        <f aca="false">IF(C7&lt;&gt;"","Yes","No")</f>
        <v>Yes</v>
      </c>
      <c r="E7" s="18" t="n">
        <v>1200</v>
      </c>
    </row>
    <row r="8" customFormat="false" ht="15" hidden="false" customHeight="true" outlineLevel="0" collapsed="false">
      <c r="A8" s="14" t="s">
        <v>30</v>
      </c>
      <c r="B8" s="14" t="s">
        <v>31</v>
      </c>
      <c r="C8" s="14" t="s">
        <v>33</v>
      </c>
      <c r="D8" s="14" t="str">
        <f aca="false">IF(C8&lt;&gt;"","Yes","No")</f>
        <v>Yes</v>
      </c>
      <c r="E8" s="19" t="n">
        <v>1200</v>
      </c>
    </row>
    <row r="9" customFormat="false" ht="15" hidden="false" customHeight="true" outlineLevel="0" collapsed="false">
      <c r="A9" s="16" t="s">
        <v>34</v>
      </c>
      <c r="B9" s="16" t="s">
        <v>35</v>
      </c>
      <c r="C9" s="16" t="s">
        <v>37</v>
      </c>
      <c r="D9" s="16" t="str">
        <f aca="false">IF(C9&lt;&gt;"","Yes","No")</f>
        <v>Yes</v>
      </c>
      <c r="E9" s="18" t="n">
        <v>2500</v>
      </c>
    </row>
    <row r="10" customFormat="false" ht="15" hidden="false" customHeight="true" outlineLevel="0" collapsed="false">
      <c r="A10" s="14" t="s">
        <v>38</v>
      </c>
      <c r="B10" s="14" t="s">
        <v>39</v>
      </c>
      <c r="C10" s="14" t="s">
        <v>41</v>
      </c>
      <c r="D10" s="14" t="str">
        <f aca="false">IF(C10&lt;&gt;"","Yes","No")</f>
        <v>Yes</v>
      </c>
      <c r="E10" s="19" t="n">
        <v>800</v>
      </c>
    </row>
    <row r="11" customFormat="false" ht="15" hidden="false" customHeight="true" outlineLevel="0" collapsed="false">
      <c r="A11" s="16" t="s">
        <v>42</v>
      </c>
      <c r="B11" s="16" t="s">
        <v>43</v>
      </c>
      <c r="C11" s="16"/>
      <c r="D11" s="16" t="str">
        <f aca="false">IF(C11&lt;&gt;"","Yes","No")</f>
        <v>No</v>
      </c>
      <c r="E11" s="18" t="n">
        <v>800</v>
      </c>
    </row>
    <row r="12" customFormat="false" ht="15" hidden="false" customHeight="true" outlineLevel="0" collapsed="false">
      <c r="A12" s="14" t="s">
        <v>44</v>
      </c>
      <c r="B12" s="14" t="s">
        <v>45</v>
      </c>
      <c r="C12" s="14"/>
      <c r="D12" s="14" t="str">
        <f aca="false">IF(C12&lt;&gt;"","Yes","No")</f>
        <v>No</v>
      </c>
      <c r="E12" s="19" t="n">
        <v>1800</v>
      </c>
    </row>
    <row r="13" customFormat="false" ht="15" hidden="false" customHeight="true" outlineLevel="0" collapsed="false">
      <c r="A13" s="16" t="s">
        <v>48</v>
      </c>
      <c r="B13" s="16" t="s">
        <v>49</v>
      </c>
      <c r="C13" s="16" t="s">
        <v>50</v>
      </c>
      <c r="D13" s="16" t="str">
        <f aca="false">IF(C13&lt;&gt;"","Yes","No")</f>
        <v>Yes</v>
      </c>
      <c r="E13" s="18" t="n">
        <v>800</v>
      </c>
    </row>
    <row r="14" customFormat="false" ht="15" hidden="false" customHeight="true" outlineLevel="0" collapsed="false">
      <c r="A14" s="14" t="s">
        <v>51</v>
      </c>
      <c r="B14" s="14" t="s">
        <v>52</v>
      </c>
      <c r="C14" s="14" t="s">
        <v>53</v>
      </c>
      <c r="D14" s="14" t="str">
        <f aca="false">IF(C14&lt;&gt;"","Yes","No")</f>
        <v>Yes</v>
      </c>
      <c r="E14" s="19" t="n">
        <v>1200</v>
      </c>
    </row>
    <row r="15" customFormat="false" ht="15" hidden="false" customHeight="true" outlineLevel="0" collapsed="false">
      <c r="A15" s="16" t="s">
        <v>54</v>
      </c>
      <c r="B15" s="16" t="s">
        <v>55</v>
      </c>
      <c r="C15" s="16" t="s">
        <v>56</v>
      </c>
      <c r="D15" s="16" t="str">
        <f aca="false">IF(C15&lt;&gt;"","Yes","No")</f>
        <v>Yes</v>
      </c>
      <c r="E15" s="18" t="n">
        <v>1200</v>
      </c>
    </row>
    <row r="16" customFormat="false" ht="15" hidden="false" customHeight="true" outlineLevel="0" collapsed="false">
      <c r="A16" s="14" t="s">
        <v>57</v>
      </c>
      <c r="B16" s="14" t="s">
        <v>58</v>
      </c>
      <c r="C16" s="14" t="s">
        <v>59</v>
      </c>
      <c r="D16" s="14" t="str">
        <f aca="false">IF(C16&lt;&gt;"","Yes","No")</f>
        <v>Yes</v>
      </c>
      <c r="E16" s="19" t="n">
        <v>1200</v>
      </c>
    </row>
    <row r="17" customFormat="false" ht="15" hidden="false" customHeight="true" outlineLevel="0" collapsed="false">
      <c r="A17" s="16" t="s">
        <v>60</v>
      </c>
      <c r="B17" s="16" t="s">
        <v>61</v>
      </c>
      <c r="C17" s="16"/>
      <c r="D17" s="16" t="str">
        <f aca="false">IF(C17&lt;&gt;"","Yes","No")</f>
        <v>No</v>
      </c>
      <c r="E17" s="18" t="n">
        <v>1800</v>
      </c>
    </row>
    <row r="18" customFormat="false" ht="15" hidden="false" customHeight="true" outlineLevel="0" collapsed="false">
      <c r="A18" s="14" t="s">
        <v>62</v>
      </c>
      <c r="B18" s="14" t="s">
        <v>63</v>
      </c>
      <c r="C18" s="14"/>
      <c r="D18" s="14" t="str">
        <f aca="false">IF(C18&lt;&gt;"","Yes","No")</f>
        <v>No</v>
      </c>
      <c r="E18" s="19" t="n">
        <v>1200</v>
      </c>
    </row>
    <row r="19" customFormat="false" ht="15" hidden="false" customHeight="true" outlineLevel="0" collapsed="false">
      <c r="A19" s="16" t="s">
        <v>64</v>
      </c>
      <c r="B19" s="16" t="s">
        <v>65</v>
      </c>
      <c r="C19" s="16"/>
      <c r="D19" s="16" t="str">
        <f aca="false">IF(C19&lt;&gt;"","Yes","No")</f>
        <v>No</v>
      </c>
      <c r="E19" s="18" t="n">
        <v>800</v>
      </c>
    </row>
    <row r="20" customFormat="false" ht="15" hidden="false" customHeight="true" outlineLevel="0" collapsed="false">
      <c r="A20" s="14" t="s">
        <v>66</v>
      </c>
      <c r="B20" s="14" t="s">
        <v>67</v>
      </c>
      <c r="C20" s="14"/>
      <c r="D20" s="14" t="str">
        <f aca="false">IF(C20&lt;&gt;"","Yes","No")</f>
        <v>No</v>
      </c>
      <c r="E20" s="19" t="n">
        <v>2500</v>
      </c>
    </row>
    <row r="21" customFormat="false" ht="15" hidden="false" customHeight="true" outlineLevel="0" collapsed="false">
      <c r="A21" s="16" t="s">
        <v>68</v>
      </c>
      <c r="B21" s="16" t="s">
        <v>69</v>
      </c>
      <c r="C21" s="16"/>
      <c r="D21" s="16" t="str">
        <f aca="false">IF(C21&lt;&gt;"","Yes","No")</f>
        <v>No</v>
      </c>
      <c r="E21" s="18" t="n">
        <v>1200</v>
      </c>
    </row>
    <row r="22" customFormat="false" ht="15" hidden="false" customHeight="true" outlineLevel="0" collapsed="false">
      <c r="A22" s="14" t="s">
        <v>70</v>
      </c>
      <c r="B22" s="14" t="s">
        <v>71</v>
      </c>
      <c r="C22" s="14"/>
      <c r="D22" s="14" t="str">
        <f aca="false">IF(C22&lt;&gt;"","Yes","No")</f>
        <v>No</v>
      </c>
      <c r="E22" s="19" t="n">
        <v>2500</v>
      </c>
    </row>
    <row r="23" customFormat="false" ht="15" hidden="false" customHeight="true" outlineLevel="0" collapsed="false">
      <c r="A23" s="16" t="s">
        <v>73</v>
      </c>
      <c r="B23" s="16" t="s">
        <v>74</v>
      </c>
      <c r="C23" s="16"/>
      <c r="D23" s="16" t="str">
        <f aca="false">IF(C23&lt;&gt;"","Yes","No")</f>
        <v>No</v>
      </c>
      <c r="E23" s="18" t="n">
        <v>800</v>
      </c>
    </row>
    <row r="24" customFormat="false" ht="15" hidden="false" customHeight="true" outlineLevel="0" collapsed="false">
      <c r="A24" s="14" t="s">
        <v>75</v>
      </c>
      <c r="B24" s="14" t="s">
        <v>76</v>
      </c>
      <c r="C24" s="14" t="s">
        <v>77</v>
      </c>
      <c r="D24" s="14" t="str">
        <f aca="false">IF(C24&lt;&gt;"","Yes","No")</f>
        <v>Yes</v>
      </c>
      <c r="E24" s="19" t="n">
        <v>2500</v>
      </c>
    </row>
    <row r="25" customFormat="false" ht="15" hidden="false" customHeight="true" outlineLevel="0" collapsed="false">
      <c r="A25" s="16" t="s">
        <v>78</v>
      </c>
      <c r="B25" s="16" t="s">
        <v>79</v>
      </c>
      <c r="C25" s="16"/>
      <c r="D25" s="16" t="str">
        <f aca="false">IF(C25&lt;&gt;"","Yes","No")</f>
        <v>No</v>
      </c>
      <c r="E25" s="18" t="n">
        <v>1800</v>
      </c>
    </row>
    <row r="26" customFormat="false" ht="15" hidden="false" customHeight="true" outlineLevel="0" collapsed="false">
      <c r="A26" s="14" t="s">
        <v>80</v>
      </c>
      <c r="B26" s="14" t="s">
        <v>81</v>
      </c>
      <c r="C26" s="14"/>
      <c r="D26" s="14" t="str">
        <f aca="false">IF(C26&lt;&gt;"","Yes","No")</f>
        <v>No</v>
      </c>
      <c r="E26" s="19" t="n">
        <v>1800</v>
      </c>
    </row>
    <row r="27" customFormat="false" ht="15" hidden="false" customHeight="true" outlineLevel="0" collapsed="false">
      <c r="A27" s="16" t="s">
        <v>82</v>
      </c>
      <c r="B27" s="16" t="s">
        <v>83</v>
      </c>
      <c r="C27" s="16"/>
      <c r="D27" s="16" t="str">
        <f aca="false">IF(C27&lt;&gt;"","Yes","No")</f>
        <v>No</v>
      </c>
      <c r="E27" s="18" t="n">
        <v>1800</v>
      </c>
    </row>
    <row r="28" customFormat="false" ht="15" hidden="false" customHeight="true" outlineLevel="0" collapsed="false">
      <c r="A28" s="14" t="s">
        <v>84</v>
      </c>
      <c r="B28" s="14" t="s">
        <v>85</v>
      </c>
      <c r="C28" s="14"/>
      <c r="D28" s="14" t="str">
        <f aca="false">IF(C28&lt;&gt;"","Yes","No")</f>
        <v>No</v>
      </c>
      <c r="E28" s="19" t="n">
        <v>1200</v>
      </c>
    </row>
    <row r="29" customFormat="false" ht="15" hidden="false" customHeight="true" outlineLevel="0" collapsed="false">
      <c r="A29" s="16" t="s">
        <v>86</v>
      </c>
      <c r="B29" s="16" t="s">
        <v>87</v>
      </c>
      <c r="C29" s="16" t="s">
        <v>88</v>
      </c>
      <c r="D29" s="16" t="str">
        <f aca="false">IF(C29&lt;&gt;"","Yes","No")</f>
        <v>Yes</v>
      </c>
      <c r="E29" s="18" t="n">
        <v>1800</v>
      </c>
    </row>
    <row r="30" customFormat="false" ht="15" hidden="false" customHeight="true" outlineLevel="0" collapsed="false">
      <c r="A30" s="14" t="s">
        <v>89</v>
      </c>
      <c r="B30" s="14" t="s">
        <v>90</v>
      </c>
      <c r="C30" s="14"/>
      <c r="D30" s="14" t="str">
        <f aca="false">IF(C30&lt;&gt;"","Yes","No")</f>
        <v>No</v>
      </c>
      <c r="E30" s="19" t="n">
        <v>1200</v>
      </c>
    </row>
    <row r="31" customFormat="false" ht="15" hidden="false" customHeight="true" outlineLevel="0" collapsed="false">
      <c r="A31" s="16" t="s">
        <v>91</v>
      </c>
      <c r="B31" s="16" t="s">
        <v>92</v>
      </c>
      <c r="C31" s="16"/>
      <c r="D31" s="16" t="str">
        <f aca="false">IF(C31&lt;&gt;"","Yes","No")</f>
        <v>No</v>
      </c>
      <c r="E31" s="18" t="n">
        <v>2500</v>
      </c>
    </row>
    <row r="32" customFormat="false" ht="15" hidden="false" customHeight="true" outlineLevel="0" collapsed="false">
      <c r="A32" s="14" t="s">
        <v>93</v>
      </c>
      <c r="B32" s="14" t="s">
        <v>94</v>
      </c>
      <c r="C32" s="14"/>
      <c r="D32" s="14" t="str">
        <f aca="false">IF(C32&lt;&gt;"","Yes","No")</f>
        <v>No</v>
      </c>
      <c r="E32" s="19" t="n">
        <v>1200</v>
      </c>
    </row>
    <row r="33" customFormat="false" ht="15" hidden="false" customHeight="true" outlineLevel="0" collapsed="false">
      <c r="A33" s="16" t="s">
        <v>95</v>
      </c>
      <c r="B33" s="16" t="s">
        <v>96</v>
      </c>
      <c r="C33" s="16"/>
      <c r="D33" s="16" t="str">
        <f aca="false">IF(C33&lt;&gt;"","Yes","No")</f>
        <v>No</v>
      </c>
      <c r="E33" s="18" t="n">
        <v>2500</v>
      </c>
    </row>
    <row r="34" customFormat="false" ht="15" hidden="false" customHeight="true" outlineLevel="0" collapsed="false">
      <c r="A34" s="14" t="s">
        <v>97</v>
      </c>
      <c r="B34" s="14" t="s">
        <v>98</v>
      </c>
      <c r="C34" s="14" t="s">
        <v>99</v>
      </c>
      <c r="D34" s="14" t="str">
        <f aca="false">IF(C34&lt;&gt;"","Yes","No")</f>
        <v>Yes</v>
      </c>
      <c r="E34" s="19" t="n">
        <v>2500</v>
      </c>
    </row>
    <row r="35" customFormat="false" ht="15" hidden="false" customHeight="true" outlineLevel="0" collapsed="false">
      <c r="A35" s="16" t="s">
        <v>100</v>
      </c>
      <c r="B35" s="16" t="s">
        <v>101</v>
      </c>
      <c r="C35" s="16" t="s">
        <v>102</v>
      </c>
      <c r="D35" s="16" t="str">
        <f aca="false">IF(C35&lt;&gt;"","Yes","No")</f>
        <v>Yes</v>
      </c>
      <c r="E35" s="18" t="n">
        <v>800</v>
      </c>
    </row>
    <row r="36" customFormat="false" ht="15" hidden="false" customHeight="true" outlineLevel="0" collapsed="false">
      <c r="A36" s="14" t="s">
        <v>103</v>
      </c>
      <c r="B36" s="14" t="s">
        <v>104</v>
      </c>
      <c r="C36" s="14"/>
      <c r="D36" s="14" t="str">
        <f aca="false">IF(C36&lt;&gt;"","Yes","No")</f>
        <v>No</v>
      </c>
      <c r="E36" s="19" t="n">
        <v>1200</v>
      </c>
    </row>
    <row r="37" customFormat="false" ht="15" hidden="false" customHeight="true" outlineLevel="0" collapsed="false">
      <c r="A37" s="16" t="s">
        <v>105</v>
      </c>
      <c r="B37" s="16" t="s">
        <v>106</v>
      </c>
      <c r="C37" s="16"/>
      <c r="D37" s="16" t="str">
        <f aca="false">IF(C37&lt;&gt;"","Yes","No")</f>
        <v>No</v>
      </c>
      <c r="E37" s="18" t="n">
        <v>800</v>
      </c>
    </row>
    <row r="38" customFormat="false" ht="15" hidden="false" customHeight="true" outlineLevel="0" collapsed="false">
      <c r="A38" s="14" t="s">
        <v>107</v>
      </c>
      <c r="B38" s="14" t="s">
        <v>108</v>
      </c>
      <c r="C38" s="14" t="s">
        <v>109</v>
      </c>
      <c r="D38" s="14" t="str">
        <f aca="false">IF(C38&lt;&gt;"","Yes","No")</f>
        <v>Yes</v>
      </c>
      <c r="E38" s="19" t="n">
        <v>1800</v>
      </c>
    </row>
    <row r="39" customFormat="false" ht="15" hidden="false" customHeight="true" outlineLevel="0" collapsed="false">
      <c r="A39" s="16" t="s">
        <v>110</v>
      </c>
      <c r="B39" s="16" t="s">
        <v>111</v>
      </c>
      <c r="C39" s="16"/>
      <c r="D39" s="16" t="str">
        <f aca="false">IF(C39&lt;&gt;"","Yes","No")</f>
        <v>No</v>
      </c>
      <c r="E39" s="18" t="n">
        <v>1200</v>
      </c>
    </row>
    <row r="41" customFormat="false" ht="15" hidden="false" customHeight="true" outlineLevel="0" collapsed="false">
      <c r="A41" s="20" t="s">
        <v>123</v>
      </c>
      <c r="B41" s="20"/>
      <c r="C41" s="20"/>
      <c r="D41" s="20"/>
      <c r="E41" s="20"/>
    </row>
    <row r="42" customFormat="false" ht="15" hidden="false" customHeight="true" outlineLevel="0" collapsed="false">
      <c r="A42" s="21" t="s">
        <v>124</v>
      </c>
      <c r="B42" s="21" t="s">
        <v>125</v>
      </c>
      <c r="C42" s="21" t="s">
        <v>126</v>
      </c>
      <c r="D42" s="21" t="s">
        <v>127</v>
      </c>
    </row>
    <row r="43" customFormat="false" ht="15" hidden="false" customHeight="true" outlineLevel="0" collapsed="false">
      <c r="A43" s="22" t="s">
        <v>128</v>
      </c>
      <c r="B43" s="22" t="n">
        <v>15</v>
      </c>
      <c r="C43" s="22" t="s">
        <v>129</v>
      </c>
      <c r="D43" s="22" t="s">
        <v>130</v>
      </c>
    </row>
    <row r="44" customFormat="false" ht="15" hidden="false" customHeight="true" outlineLevel="0" collapsed="false">
      <c r="A44" s="23" t="s">
        <v>131</v>
      </c>
      <c r="B44" s="23" t="n">
        <v>20</v>
      </c>
      <c r="C44" s="23" t="s">
        <v>132</v>
      </c>
      <c r="D44" s="23" t="s">
        <v>133</v>
      </c>
    </row>
    <row r="45" customFormat="false" ht="15" hidden="false" customHeight="true" outlineLevel="0" collapsed="false">
      <c r="A45" s="24" t="s">
        <v>134</v>
      </c>
      <c r="B45" s="24"/>
      <c r="C45" s="24"/>
      <c r="D45" s="24"/>
      <c r="E45" s="24"/>
    </row>
  </sheetData>
  <mergeCells count="4">
    <mergeCell ref="A1:E1"/>
    <mergeCell ref="B2:E2"/>
    <mergeCell ref="A41:E41"/>
    <mergeCell ref="A45:E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2"/>
    <col collapsed="false" customWidth="true" hidden="false" outlineLevel="0" max="3" min="3" style="1" width="16"/>
    <col collapsed="false" customWidth="true" hidden="false" outlineLevel="0" max="4" min="4" style="1" width="22"/>
    <col collapsed="false" customWidth="true" hidden="false" outlineLevel="0" max="5" min="5" style="1" width="16"/>
    <col collapsed="false" customWidth="true" hidden="false" outlineLevel="0" max="6" min="6" style="1" width="18"/>
    <col collapsed="false" customWidth="true" hidden="false" outlineLevel="0" max="7" min="7" style="1" width="16"/>
  </cols>
  <sheetData>
    <row r="1" customFormat="false" ht="27.75" hidden="false" customHeight="true" outlineLevel="0" collapsed="false">
      <c r="A1" s="10" t="s">
        <v>135</v>
      </c>
      <c r="B1" s="10"/>
      <c r="C1" s="10"/>
      <c r="D1" s="10"/>
      <c r="E1" s="10"/>
      <c r="F1" s="10"/>
    </row>
    <row r="2" customFormat="false" ht="15" hidden="false" customHeight="true" outlineLevel="0" collapsed="false">
      <c r="A2" s="11" t="s">
        <v>120</v>
      </c>
      <c r="B2" s="12" t="s">
        <v>136</v>
      </c>
      <c r="C2" s="12"/>
      <c r="D2" s="12"/>
      <c r="E2" s="12"/>
      <c r="F2" s="12"/>
    </row>
    <row r="3" customFormat="false" ht="7.5" hidden="false" customHeight="true" outlineLevel="0" collapsed="false"/>
    <row r="4" customFormat="false" ht="26.25" hidden="false" customHeight="true" outlineLevel="0" collapsed="false">
      <c r="A4" s="2" t="s">
        <v>0</v>
      </c>
      <c r="B4" s="2" t="s">
        <v>1</v>
      </c>
      <c r="C4" s="2" t="s">
        <v>4</v>
      </c>
      <c r="D4" s="2" t="s">
        <v>7</v>
      </c>
      <c r="E4" s="2" t="s">
        <v>137</v>
      </c>
      <c r="F4" s="2" t="s">
        <v>13</v>
      </c>
    </row>
    <row r="5" customFormat="false" ht="15" hidden="false" customHeight="true" outlineLevel="0" collapsed="false">
      <c r="A5" s="16" t="s">
        <v>15</v>
      </c>
      <c r="B5" s="16" t="s">
        <v>16</v>
      </c>
      <c r="C5" s="16" t="s">
        <v>18</v>
      </c>
      <c r="D5" s="18" t="n">
        <v>800</v>
      </c>
      <c r="E5" s="16" t="n">
        <v>6</v>
      </c>
      <c r="F5" s="18" t="n">
        <f aca="false">D5*E5</f>
        <v>4800</v>
      </c>
    </row>
    <row r="6" customFormat="false" ht="15" hidden="false" customHeight="true" outlineLevel="0" collapsed="false">
      <c r="A6" s="14" t="s">
        <v>21</v>
      </c>
      <c r="B6" s="14" t="s">
        <v>22</v>
      </c>
      <c r="C6" s="14" t="s">
        <v>18</v>
      </c>
      <c r="D6" s="19" t="n">
        <v>800</v>
      </c>
      <c r="E6" s="14" t="n">
        <v>0</v>
      </c>
      <c r="F6" s="19" t="n">
        <f aca="false">D6*E6</f>
        <v>0</v>
      </c>
    </row>
    <row r="7" customFormat="false" ht="15" hidden="false" customHeight="true" outlineLevel="0" collapsed="false">
      <c r="A7" s="16" t="s">
        <v>25</v>
      </c>
      <c r="B7" s="16" t="s">
        <v>26</v>
      </c>
      <c r="C7" s="16" t="s">
        <v>27</v>
      </c>
      <c r="D7" s="18" t="n">
        <v>1200</v>
      </c>
      <c r="E7" s="16" t="n">
        <v>6</v>
      </c>
      <c r="F7" s="18" t="n">
        <f aca="false">D7*E7</f>
        <v>7200</v>
      </c>
    </row>
    <row r="8" customFormat="false" ht="15" hidden="false" customHeight="true" outlineLevel="0" collapsed="false">
      <c r="A8" s="14" t="s">
        <v>30</v>
      </c>
      <c r="B8" s="14" t="s">
        <v>31</v>
      </c>
      <c r="C8" s="14" t="s">
        <v>27</v>
      </c>
      <c r="D8" s="19" t="n">
        <v>1200</v>
      </c>
      <c r="E8" s="14" t="n">
        <v>3</v>
      </c>
      <c r="F8" s="19" t="n">
        <f aca="false">D8*E8</f>
        <v>3600</v>
      </c>
    </row>
    <row r="9" customFormat="false" ht="15" hidden="false" customHeight="true" outlineLevel="0" collapsed="false">
      <c r="A9" s="16" t="s">
        <v>34</v>
      </c>
      <c r="B9" s="16" t="s">
        <v>35</v>
      </c>
      <c r="C9" s="16" t="s">
        <v>36</v>
      </c>
      <c r="D9" s="18" t="n">
        <v>2500</v>
      </c>
      <c r="E9" s="16" t="n">
        <v>7</v>
      </c>
      <c r="F9" s="18" t="n">
        <f aca="false">D9*E9</f>
        <v>17500</v>
      </c>
    </row>
    <row r="10" customFormat="false" ht="15" hidden="false" customHeight="true" outlineLevel="0" collapsed="false">
      <c r="A10" s="14" t="s">
        <v>38</v>
      </c>
      <c r="B10" s="14" t="s">
        <v>39</v>
      </c>
      <c r="C10" s="14" t="s">
        <v>18</v>
      </c>
      <c r="D10" s="19" t="n">
        <v>800</v>
      </c>
      <c r="E10" s="14" t="n">
        <v>2</v>
      </c>
      <c r="F10" s="19" t="n">
        <f aca="false">D10*E10</f>
        <v>1600</v>
      </c>
    </row>
    <row r="11" customFormat="false" ht="15" hidden="false" customHeight="true" outlineLevel="0" collapsed="false">
      <c r="A11" s="16" t="s">
        <v>42</v>
      </c>
      <c r="B11" s="16" t="s">
        <v>43</v>
      </c>
      <c r="C11" s="16" t="s">
        <v>18</v>
      </c>
      <c r="D11" s="18" t="n">
        <v>800</v>
      </c>
      <c r="E11" s="16" t="n">
        <v>2</v>
      </c>
      <c r="F11" s="18" t="n">
        <f aca="false">D11*E11</f>
        <v>1600</v>
      </c>
    </row>
    <row r="12" customFormat="false" ht="15" hidden="false" customHeight="true" outlineLevel="0" collapsed="false">
      <c r="A12" s="14" t="s">
        <v>44</v>
      </c>
      <c r="B12" s="14" t="s">
        <v>45</v>
      </c>
      <c r="C12" s="14" t="s">
        <v>46</v>
      </c>
      <c r="D12" s="19" t="n">
        <v>1800</v>
      </c>
      <c r="E12" s="14" t="n">
        <v>3</v>
      </c>
      <c r="F12" s="19" t="n">
        <f aca="false">D12*E12</f>
        <v>5400</v>
      </c>
    </row>
    <row r="13" customFormat="false" ht="15" hidden="false" customHeight="true" outlineLevel="0" collapsed="false">
      <c r="A13" s="16" t="s">
        <v>48</v>
      </c>
      <c r="B13" s="16" t="s">
        <v>49</v>
      </c>
      <c r="C13" s="16" t="s">
        <v>18</v>
      </c>
      <c r="D13" s="18" t="n">
        <v>800</v>
      </c>
      <c r="E13" s="16" t="n">
        <v>0</v>
      </c>
      <c r="F13" s="18" t="n">
        <f aca="false">D13*E13</f>
        <v>0</v>
      </c>
    </row>
    <row r="14" customFormat="false" ht="15" hidden="false" customHeight="true" outlineLevel="0" collapsed="false">
      <c r="A14" s="14" t="s">
        <v>51</v>
      </c>
      <c r="B14" s="14" t="s">
        <v>52</v>
      </c>
      <c r="C14" s="14" t="s">
        <v>27</v>
      </c>
      <c r="D14" s="19" t="n">
        <v>1200</v>
      </c>
      <c r="E14" s="14" t="n">
        <v>2</v>
      </c>
      <c r="F14" s="19" t="n">
        <f aca="false">D14*E14</f>
        <v>2400</v>
      </c>
    </row>
    <row r="15" customFormat="false" ht="15" hidden="false" customHeight="true" outlineLevel="0" collapsed="false">
      <c r="A15" s="16" t="s">
        <v>54</v>
      </c>
      <c r="B15" s="16" t="s">
        <v>55</v>
      </c>
      <c r="C15" s="16" t="s">
        <v>27</v>
      </c>
      <c r="D15" s="18" t="n">
        <v>1200</v>
      </c>
      <c r="E15" s="16" t="n">
        <v>5</v>
      </c>
      <c r="F15" s="18" t="n">
        <f aca="false">D15*E15</f>
        <v>6000</v>
      </c>
    </row>
    <row r="16" customFormat="false" ht="15" hidden="false" customHeight="true" outlineLevel="0" collapsed="false">
      <c r="A16" s="14" t="s">
        <v>57</v>
      </c>
      <c r="B16" s="14" t="s">
        <v>58</v>
      </c>
      <c r="C16" s="14" t="s">
        <v>27</v>
      </c>
      <c r="D16" s="19" t="n">
        <v>1200</v>
      </c>
      <c r="E16" s="14" t="n">
        <v>13</v>
      </c>
      <c r="F16" s="19" t="n">
        <f aca="false">D16*E16</f>
        <v>15600</v>
      </c>
    </row>
    <row r="17" customFormat="false" ht="15" hidden="false" customHeight="true" outlineLevel="0" collapsed="false">
      <c r="A17" s="16" t="s">
        <v>60</v>
      </c>
      <c r="B17" s="16" t="s">
        <v>61</v>
      </c>
      <c r="C17" s="16" t="s">
        <v>46</v>
      </c>
      <c r="D17" s="18" t="n">
        <v>1800</v>
      </c>
      <c r="E17" s="16" t="n">
        <v>2</v>
      </c>
      <c r="F17" s="18" t="n">
        <f aca="false">D17*E17</f>
        <v>3600</v>
      </c>
    </row>
    <row r="18" customFormat="false" ht="15" hidden="false" customHeight="true" outlineLevel="0" collapsed="false">
      <c r="A18" s="14" t="s">
        <v>62</v>
      </c>
      <c r="B18" s="14" t="s">
        <v>63</v>
      </c>
      <c r="C18" s="14" t="s">
        <v>27</v>
      </c>
      <c r="D18" s="19" t="n">
        <v>1200</v>
      </c>
      <c r="E18" s="14" t="n">
        <v>5</v>
      </c>
      <c r="F18" s="19" t="n">
        <f aca="false">D18*E18</f>
        <v>6000</v>
      </c>
    </row>
    <row r="19" customFormat="false" ht="15" hidden="false" customHeight="true" outlineLevel="0" collapsed="false">
      <c r="A19" s="16" t="s">
        <v>64</v>
      </c>
      <c r="B19" s="16" t="s">
        <v>65</v>
      </c>
      <c r="C19" s="16" t="s">
        <v>18</v>
      </c>
      <c r="D19" s="18" t="n">
        <v>800</v>
      </c>
      <c r="E19" s="16" t="n">
        <v>6</v>
      </c>
      <c r="F19" s="18" t="n">
        <f aca="false">D19*E19</f>
        <v>4800</v>
      </c>
    </row>
    <row r="20" customFormat="false" ht="15" hidden="false" customHeight="true" outlineLevel="0" collapsed="false">
      <c r="A20" s="14" t="s">
        <v>66</v>
      </c>
      <c r="B20" s="14" t="s">
        <v>67</v>
      </c>
      <c r="C20" s="14" t="s">
        <v>36</v>
      </c>
      <c r="D20" s="19" t="n">
        <v>2500</v>
      </c>
      <c r="E20" s="14" t="n">
        <v>1</v>
      </c>
      <c r="F20" s="19" t="n">
        <f aca="false">D20*E20</f>
        <v>2500</v>
      </c>
    </row>
    <row r="21" customFormat="false" ht="15" hidden="false" customHeight="true" outlineLevel="0" collapsed="false">
      <c r="A21" s="16" t="s">
        <v>68</v>
      </c>
      <c r="B21" s="16" t="s">
        <v>69</v>
      </c>
      <c r="C21" s="16" t="s">
        <v>27</v>
      </c>
      <c r="D21" s="18" t="n">
        <v>1200</v>
      </c>
      <c r="E21" s="16" t="n">
        <v>11</v>
      </c>
      <c r="F21" s="18" t="n">
        <f aca="false">D21*E21</f>
        <v>13200</v>
      </c>
    </row>
    <row r="22" customFormat="false" ht="15" hidden="false" customHeight="true" outlineLevel="0" collapsed="false">
      <c r="A22" s="14" t="s">
        <v>70</v>
      </c>
      <c r="B22" s="14" t="s">
        <v>71</v>
      </c>
      <c r="C22" s="14" t="s">
        <v>36</v>
      </c>
      <c r="D22" s="19" t="n">
        <v>2500</v>
      </c>
      <c r="E22" s="14" t="n">
        <v>14</v>
      </c>
      <c r="F22" s="19" t="n">
        <f aca="false">D22*E22</f>
        <v>35000</v>
      </c>
    </row>
    <row r="23" customFormat="false" ht="15" hidden="false" customHeight="true" outlineLevel="0" collapsed="false">
      <c r="A23" s="16" t="s">
        <v>73</v>
      </c>
      <c r="B23" s="16" t="s">
        <v>74</v>
      </c>
      <c r="C23" s="16" t="s">
        <v>18</v>
      </c>
      <c r="D23" s="18" t="n">
        <v>800</v>
      </c>
      <c r="E23" s="16" t="n">
        <v>10</v>
      </c>
      <c r="F23" s="18" t="n">
        <f aca="false">D23*E23</f>
        <v>8000</v>
      </c>
    </row>
    <row r="24" customFormat="false" ht="15" hidden="false" customHeight="true" outlineLevel="0" collapsed="false">
      <c r="A24" s="14" t="s">
        <v>75</v>
      </c>
      <c r="B24" s="14" t="s">
        <v>76</v>
      </c>
      <c r="C24" s="14" t="s">
        <v>36</v>
      </c>
      <c r="D24" s="19" t="n">
        <v>2500</v>
      </c>
      <c r="E24" s="14" t="n">
        <v>6</v>
      </c>
      <c r="F24" s="19" t="n">
        <f aca="false">D24*E24</f>
        <v>15000</v>
      </c>
    </row>
    <row r="25" customFormat="false" ht="15" hidden="false" customHeight="true" outlineLevel="0" collapsed="false">
      <c r="A25" s="16" t="s">
        <v>78</v>
      </c>
      <c r="B25" s="16" t="s">
        <v>79</v>
      </c>
      <c r="C25" s="16" t="s">
        <v>46</v>
      </c>
      <c r="D25" s="18" t="n">
        <v>1800</v>
      </c>
      <c r="E25" s="16" t="n">
        <v>17</v>
      </c>
      <c r="F25" s="18" t="n">
        <f aca="false">D25*E25</f>
        <v>30600</v>
      </c>
    </row>
    <row r="26" customFormat="false" ht="15" hidden="false" customHeight="true" outlineLevel="0" collapsed="false">
      <c r="A26" s="14" t="s">
        <v>80</v>
      </c>
      <c r="B26" s="14" t="s">
        <v>81</v>
      </c>
      <c r="C26" s="14" t="s">
        <v>46</v>
      </c>
      <c r="D26" s="19" t="n">
        <v>1800</v>
      </c>
      <c r="E26" s="14" t="n">
        <v>9</v>
      </c>
      <c r="F26" s="19" t="n">
        <f aca="false">D26*E26</f>
        <v>16200</v>
      </c>
    </row>
    <row r="27" customFormat="false" ht="15" hidden="false" customHeight="true" outlineLevel="0" collapsed="false">
      <c r="A27" s="16" t="s">
        <v>82</v>
      </c>
      <c r="B27" s="16" t="s">
        <v>83</v>
      </c>
      <c r="C27" s="16" t="s">
        <v>46</v>
      </c>
      <c r="D27" s="18" t="n">
        <v>1800</v>
      </c>
      <c r="E27" s="16" t="n">
        <v>0</v>
      </c>
      <c r="F27" s="18" t="n">
        <f aca="false">D27*E27</f>
        <v>0</v>
      </c>
    </row>
    <row r="28" customFormat="false" ht="15" hidden="false" customHeight="true" outlineLevel="0" collapsed="false">
      <c r="A28" s="14" t="s">
        <v>84</v>
      </c>
      <c r="B28" s="14" t="s">
        <v>85</v>
      </c>
      <c r="C28" s="14" t="s">
        <v>27</v>
      </c>
      <c r="D28" s="19" t="n">
        <v>1200</v>
      </c>
      <c r="E28" s="14" t="n">
        <v>9</v>
      </c>
      <c r="F28" s="19" t="n">
        <f aca="false">D28*E28</f>
        <v>10800</v>
      </c>
    </row>
    <row r="29" customFormat="false" ht="15" hidden="false" customHeight="true" outlineLevel="0" collapsed="false">
      <c r="A29" s="16" t="s">
        <v>86</v>
      </c>
      <c r="B29" s="16" t="s">
        <v>87</v>
      </c>
      <c r="C29" s="16" t="s">
        <v>46</v>
      </c>
      <c r="D29" s="18" t="n">
        <v>1800</v>
      </c>
      <c r="E29" s="16" t="n">
        <v>2</v>
      </c>
      <c r="F29" s="18" t="n">
        <f aca="false">D29*E29</f>
        <v>3600</v>
      </c>
    </row>
    <row r="30" customFormat="false" ht="15" hidden="false" customHeight="true" outlineLevel="0" collapsed="false">
      <c r="A30" s="14" t="s">
        <v>89</v>
      </c>
      <c r="B30" s="14" t="s">
        <v>90</v>
      </c>
      <c r="C30" s="14" t="s">
        <v>27</v>
      </c>
      <c r="D30" s="19" t="n">
        <v>1200</v>
      </c>
      <c r="E30" s="14" t="n">
        <v>0</v>
      </c>
      <c r="F30" s="19" t="n">
        <f aca="false">D30*E30</f>
        <v>0</v>
      </c>
    </row>
    <row r="31" customFormat="false" ht="15" hidden="false" customHeight="true" outlineLevel="0" collapsed="false">
      <c r="A31" s="16" t="s">
        <v>91</v>
      </c>
      <c r="B31" s="16" t="s">
        <v>92</v>
      </c>
      <c r="C31" s="16" t="s">
        <v>36</v>
      </c>
      <c r="D31" s="18" t="n">
        <v>2500</v>
      </c>
      <c r="E31" s="16" t="n">
        <v>0</v>
      </c>
      <c r="F31" s="18" t="n">
        <f aca="false">D31*E31</f>
        <v>0</v>
      </c>
    </row>
    <row r="32" customFormat="false" ht="15" hidden="false" customHeight="true" outlineLevel="0" collapsed="false">
      <c r="A32" s="14" t="s">
        <v>93</v>
      </c>
      <c r="B32" s="14" t="s">
        <v>94</v>
      </c>
      <c r="C32" s="14" t="s">
        <v>27</v>
      </c>
      <c r="D32" s="19" t="n">
        <v>1200</v>
      </c>
      <c r="E32" s="14" t="n">
        <v>1</v>
      </c>
      <c r="F32" s="19" t="n">
        <f aca="false">D32*E32</f>
        <v>1200</v>
      </c>
    </row>
    <row r="33" customFormat="false" ht="15" hidden="false" customHeight="true" outlineLevel="0" collapsed="false">
      <c r="A33" s="16" t="s">
        <v>95</v>
      </c>
      <c r="B33" s="16" t="s">
        <v>96</v>
      </c>
      <c r="C33" s="16" t="s">
        <v>36</v>
      </c>
      <c r="D33" s="18" t="n">
        <v>2500</v>
      </c>
      <c r="E33" s="16" t="n">
        <v>0</v>
      </c>
      <c r="F33" s="18" t="n">
        <f aca="false">D33*E33</f>
        <v>0</v>
      </c>
    </row>
    <row r="34" customFormat="false" ht="15" hidden="false" customHeight="true" outlineLevel="0" collapsed="false">
      <c r="A34" s="14" t="s">
        <v>97</v>
      </c>
      <c r="B34" s="14" t="s">
        <v>98</v>
      </c>
      <c r="C34" s="14" t="s">
        <v>36</v>
      </c>
      <c r="D34" s="19" t="n">
        <v>2500</v>
      </c>
      <c r="E34" s="14" t="n">
        <v>2</v>
      </c>
      <c r="F34" s="19" t="n">
        <f aca="false">D34*E34</f>
        <v>5000</v>
      </c>
    </row>
    <row r="35" customFormat="false" ht="15" hidden="false" customHeight="true" outlineLevel="0" collapsed="false">
      <c r="A35" s="16" t="s">
        <v>100</v>
      </c>
      <c r="B35" s="16" t="s">
        <v>101</v>
      </c>
      <c r="C35" s="16" t="s">
        <v>18</v>
      </c>
      <c r="D35" s="18" t="n">
        <v>800</v>
      </c>
      <c r="E35" s="16" t="n">
        <v>18</v>
      </c>
      <c r="F35" s="18" t="n">
        <f aca="false">D35*E35</f>
        <v>14400</v>
      </c>
    </row>
    <row r="36" customFormat="false" ht="15" hidden="false" customHeight="true" outlineLevel="0" collapsed="false">
      <c r="A36" s="14" t="s">
        <v>103</v>
      </c>
      <c r="B36" s="14" t="s">
        <v>104</v>
      </c>
      <c r="C36" s="14" t="s">
        <v>27</v>
      </c>
      <c r="D36" s="19" t="n">
        <v>1200</v>
      </c>
      <c r="E36" s="14" t="n">
        <v>7</v>
      </c>
      <c r="F36" s="19" t="n">
        <f aca="false">D36*E36</f>
        <v>8400</v>
      </c>
    </row>
    <row r="37" customFormat="false" ht="15" hidden="false" customHeight="true" outlineLevel="0" collapsed="false">
      <c r="A37" s="16" t="s">
        <v>105</v>
      </c>
      <c r="B37" s="16" t="s">
        <v>106</v>
      </c>
      <c r="C37" s="16" t="s">
        <v>18</v>
      </c>
      <c r="D37" s="18" t="n">
        <v>800</v>
      </c>
      <c r="E37" s="16" t="n">
        <v>1</v>
      </c>
      <c r="F37" s="18" t="n">
        <f aca="false">D37*E37</f>
        <v>800</v>
      </c>
    </row>
    <row r="38" customFormat="false" ht="15" hidden="false" customHeight="true" outlineLevel="0" collapsed="false">
      <c r="A38" s="14" t="s">
        <v>107</v>
      </c>
      <c r="B38" s="14" t="s">
        <v>108</v>
      </c>
      <c r="C38" s="14" t="s">
        <v>46</v>
      </c>
      <c r="D38" s="19" t="n">
        <v>1800</v>
      </c>
      <c r="E38" s="14" t="n">
        <v>4</v>
      </c>
      <c r="F38" s="19" t="n">
        <f aca="false">D38*E38</f>
        <v>7200</v>
      </c>
    </row>
    <row r="39" customFormat="false" ht="15" hidden="false" customHeight="true" outlineLevel="0" collapsed="false">
      <c r="A39" s="16" t="s">
        <v>110</v>
      </c>
      <c r="B39" s="16" t="s">
        <v>111</v>
      </c>
      <c r="C39" s="16" t="s">
        <v>27</v>
      </c>
      <c r="D39" s="18" t="n">
        <v>1200</v>
      </c>
      <c r="E39" s="16" t="n">
        <v>11</v>
      </c>
      <c r="F39" s="18" t="n">
        <f aca="false">D39*E39</f>
        <v>13200</v>
      </c>
    </row>
    <row r="40" customFormat="false" ht="15" hidden="false" customHeight="true" outlineLevel="0" collapsed="false">
      <c r="A40" s="25"/>
      <c r="B40" s="25"/>
      <c r="C40" s="25"/>
      <c r="D40" s="25"/>
      <c r="E40" s="26" t="s">
        <v>138</v>
      </c>
      <c r="F40" s="27" t="n">
        <f aca="false">SUM(F5:F39)</f>
        <v>265200</v>
      </c>
    </row>
    <row r="43" customFormat="false" ht="15" hidden="false" customHeight="true" outlineLevel="0" collapsed="false">
      <c r="A43" s="28" t="s">
        <v>139</v>
      </c>
      <c r="B43" s="28"/>
      <c r="C43" s="28"/>
      <c r="E43" s="29" t="s">
        <v>140</v>
      </c>
      <c r="F43" s="29"/>
      <c r="G43" s="29"/>
    </row>
    <row r="44" customFormat="false" ht="15" hidden="false" customHeight="true" outlineLevel="0" collapsed="false">
      <c r="A44" s="21" t="s">
        <v>141</v>
      </c>
      <c r="B44" s="21" t="s">
        <v>127</v>
      </c>
      <c r="C44" s="21" t="s">
        <v>142</v>
      </c>
      <c r="E44" s="30" t="s">
        <v>9</v>
      </c>
      <c r="F44" s="30" t="s">
        <v>127</v>
      </c>
      <c r="G44" s="30" t="s">
        <v>143</v>
      </c>
    </row>
    <row r="45" customFormat="false" ht="15" hidden="false" customHeight="true" outlineLevel="0" collapsed="false">
      <c r="A45" s="16" t="s">
        <v>18</v>
      </c>
      <c r="B45" s="18" t="n">
        <v>36000</v>
      </c>
      <c r="C45" s="16" t="n">
        <v>9</v>
      </c>
      <c r="E45" s="16" t="s">
        <v>19</v>
      </c>
      <c r="F45" s="18" t="n">
        <v>55300</v>
      </c>
      <c r="G45" s="16" t="n">
        <v>5</v>
      </c>
    </row>
    <row r="46" customFormat="false" ht="15" hidden="false" customHeight="true" outlineLevel="0" collapsed="false">
      <c r="A46" s="23" t="s">
        <v>27</v>
      </c>
      <c r="B46" s="31" t="n">
        <v>87600</v>
      </c>
      <c r="C46" s="23" t="n">
        <v>12</v>
      </c>
      <c r="E46" s="32" t="s">
        <v>23</v>
      </c>
      <c r="F46" s="33" t="n">
        <v>23200</v>
      </c>
      <c r="G46" s="32" t="n">
        <v>5</v>
      </c>
    </row>
    <row r="47" customFormat="false" ht="15" hidden="false" customHeight="true" outlineLevel="0" collapsed="false">
      <c r="A47" s="16" t="s">
        <v>46</v>
      </c>
      <c r="B47" s="18" t="n">
        <v>66600</v>
      </c>
      <c r="C47" s="16" t="n">
        <v>7</v>
      </c>
      <c r="E47" s="16" t="s">
        <v>28</v>
      </c>
      <c r="F47" s="18" t="n">
        <v>28800</v>
      </c>
      <c r="G47" s="16" t="n">
        <v>5</v>
      </c>
    </row>
    <row r="48" customFormat="false" ht="15" hidden="false" customHeight="true" outlineLevel="0" collapsed="false">
      <c r="A48" s="23" t="s">
        <v>36</v>
      </c>
      <c r="B48" s="31" t="n">
        <v>75000</v>
      </c>
      <c r="C48" s="23" t="n">
        <v>7</v>
      </c>
      <c r="E48" s="32" t="s">
        <v>40</v>
      </c>
      <c r="F48" s="33" t="n">
        <v>76400</v>
      </c>
      <c r="G48" s="32" t="n">
        <v>10</v>
      </c>
    </row>
    <row r="49" customFormat="false" ht="15" hidden="false" customHeight="true" outlineLevel="0" collapsed="false">
      <c r="E49" s="16" t="s">
        <v>47</v>
      </c>
      <c r="F49" s="18" t="n">
        <v>32100</v>
      </c>
      <c r="G49" s="16" t="n">
        <v>6</v>
      </c>
    </row>
    <row r="50" customFormat="false" ht="15" hidden="false" customHeight="true" outlineLevel="0" collapsed="false">
      <c r="E50" s="32" t="s">
        <v>72</v>
      </c>
      <c r="F50" s="33" t="n">
        <v>49400</v>
      </c>
      <c r="G50" s="32" t="n">
        <v>4</v>
      </c>
    </row>
  </sheetData>
  <mergeCells count="4">
    <mergeCell ref="A1:F1"/>
    <mergeCell ref="B2:F2"/>
    <mergeCell ref="A43:C43"/>
    <mergeCell ref="E43:G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2"/>
    <col collapsed="false" customWidth="true" hidden="false" outlineLevel="0" max="3" min="3" style="1" width="12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22"/>
    <col collapsed="false" customWidth="true" hidden="false" outlineLevel="0" max="7" min="7" style="1" width="28"/>
  </cols>
  <sheetData>
    <row r="1" customFormat="false" ht="27.75" hidden="false" customHeight="true" outlineLevel="0" collapsed="false">
      <c r="A1" s="34" t="s">
        <v>144</v>
      </c>
      <c r="B1" s="34"/>
      <c r="C1" s="34"/>
      <c r="D1" s="34"/>
      <c r="E1" s="34"/>
      <c r="F1" s="34"/>
      <c r="G1" s="34"/>
    </row>
    <row r="2" customFormat="false" ht="15" hidden="false" customHeight="true" outlineLevel="0" collapsed="false">
      <c r="A2" s="11" t="s">
        <v>145</v>
      </c>
      <c r="B2" s="35" t="s">
        <v>146</v>
      </c>
      <c r="C2" s="35"/>
      <c r="D2" s="35"/>
      <c r="E2" s="35"/>
      <c r="F2" s="35"/>
      <c r="G2" s="35"/>
    </row>
    <row r="3" customFormat="false" ht="15" hidden="false" customHeight="true" outlineLevel="0" collapsed="false">
      <c r="A3" s="11" t="s">
        <v>147</v>
      </c>
      <c r="B3" s="13" t="s">
        <v>148</v>
      </c>
      <c r="C3" s="13"/>
      <c r="D3" s="13"/>
      <c r="E3" s="13"/>
      <c r="F3" s="13"/>
      <c r="G3" s="13"/>
    </row>
    <row r="4" customFormat="false" ht="7.5" hidden="false" customHeight="true" outlineLevel="0" collapsed="false"/>
    <row r="5" customFormat="false" ht="26.25" hidden="false" customHeight="true" outlineLevel="0" collapsed="false">
      <c r="A5" s="36" t="s">
        <v>0</v>
      </c>
      <c r="B5" s="36" t="s">
        <v>1</v>
      </c>
      <c r="C5" s="36" t="s">
        <v>9</v>
      </c>
      <c r="D5" s="36" t="s">
        <v>4</v>
      </c>
      <c r="E5" s="36" t="s">
        <v>8</v>
      </c>
      <c r="F5" s="36" t="s">
        <v>149</v>
      </c>
      <c r="G5" s="36" t="s">
        <v>150</v>
      </c>
    </row>
    <row r="6" customFormat="false" ht="15" hidden="false" customHeight="true" outlineLevel="0" collapsed="false">
      <c r="A6" s="37" t="s">
        <v>15</v>
      </c>
      <c r="B6" s="37" t="s">
        <v>16</v>
      </c>
      <c r="C6" s="37" t="s">
        <v>19</v>
      </c>
      <c r="D6" s="37" t="s">
        <v>18</v>
      </c>
      <c r="E6" s="37" t="n">
        <v>25</v>
      </c>
      <c r="F6" s="37" t="n">
        <v>6</v>
      </c>
      <c r="G6" s="37" t="s">
        <v>151</v>
      </c>
    </row>
    <row r="7" customFormat="false" ht="15" hidden="false" customHeight="true" outlineLevel="0" collapsed="false">
      <c r="A7" s="38" t="s">
        <v>21</v>
      </c>
      <c r="B7" s="38" t="s">
        <v>22</v>
      </c>
      <c r="C7" s="38" t="s">
        <v>23</v>
      </c>
      <c r="D7" s="38" t="s">
        <v>18</v>
      </c>
      <c r="E7" s="38" t="n">
        <v>20</v>
      </c>
      <c r="F7" s="38" t="n">
        <v>0</v>
      </c>
      <c r="G7" s="38" t="s">
        <v>151</v>
      </c>
    </row>
    <row r="8" customFormat="false" ht="15" hidden="false" customHeight="true" outlineLevel="0" collapsed="false">
      <c r="A8" s="37" t="s">
        <v>25</v>
      </c>
      <c r="B8" s="37" t="s">
        <v>26</v>
      </c>
      <c r="C8" s="37" t="s">
        <v>28</v>
      </c>
      <c r="D8" s="37" t="s">
        <v>27</v>
      </c>
      <c r="E8" s="37" t="n">
        <v>18</v>
      </c>
      <c r="F8" s="37" t="n">
        <v>6</v>
      </c>
      <c r="G8" s="37" t="s">
        <v>151</v>
      </c>
    </row>
    <row r="9" customFormat="false" ht="15" hidden="false" customHeight="true" outlineLevel="0" collapsed="false">
      <c r="A9" s="38" t="s">
        <v>30</v>
      </c>
      <c r="B9" s="38" t="s">
        <v>31</v>
      </c>
      <c r="C9" s="38" t="s">
        <v>28</v>
      </c>
      <c r="D9" s="38" t="s">
        <v>27</v>
      </c>
      <c r="E9" s="38" t="n">
        <v>16</v>
      </c>
      <c r="F9" s="38" t="n">
        <v>3</v>
      </c>
      <c r="G9" s="38" t="s">
        <v>151</v>
      </c>
    </row>
    <row r="10" customFormat="false" ht="15" hidden="false" customHeight="true" outlineLevel="0" collapsed="false">
      <c r="A10" s="37" t="s">
        <v>34</v>
      </c>
      <c r="B10" s="37" t="s">
        <v>35</v>
      </c>
      <c r="C10" s="37" t="s">
        <v>19</v>
      </c>
      <c r="D10" s="37" t="s">
        <v>36</v>
      </c>
      <c r="E10" s="37" t="n">
        <v>12</v>
      </c>
      <c r="F10" s="37" t="n">
        <v>7</v>
      </c>
      <c r="G10" s="37" t="s">
        <v>151</v>
      </c>
    </row>
    <row r="11" customFormat="false" ht="15" hidden="false" customHeight="true" outlineLevel="0" collapsed="false">
      <c r="A11" s="38" t="s">
        <v>38</v>
      </c>
      <c r="B11" s="38" t="s">
        <v>39</v>
      </c>
      <c r="C11" s="38" t="s">
        <v>40</v>
      </c>
      <c r="D11" s="38" t="s">
        <v>18</v>
      </c>
      <c r="E11" s="38" t="n">
        <v>14</v>
      </c>
      <c r="F11" s="38" t="n">
        <v>2</v>
      </c>
      <c r="G11" s="38" t="s">
        <v>151</v>
      </c>
    </row>
    <row r="12" customFormat="false" ht="15" hidden="false" customHeight="true" outlineLevel="0" collapsed="false">
      <c r="A12" s="37" t="s">
        <v>42</v>
      </c>
      <c r="B12" s="37" t="s">
        <v>43</v>
      </c>
      <c r="C12" s="37" t="s">
        <v>23</v>
      </c>
      <c r="D12" s="37" t="s">
        <v>18</v>
      </c>
      <c r="E12" s="37" t="n">
        <v>25</v>
      </c>
      <c r="F12" s="37" t="n">
        <v>2</v>
      </c>
      <c r="G12" s="37" t="s">
        <v>151</v>
      </c>
    </row>
    <row r="13" customFormat="false" ht="15" hidden="false" customHeight="true" outlineLevel="0" collapsed="false">
      <c r="A13" s="38" t="s">
        <v>44</v>
      </c>
      <c r="B13" s="38" t="s">
        <v>45</v>
      </c>
      <c r="C13" s="38" t="s">
        <v>47</v>
      </c>
      <c r="D13" s="38" t="s">
        <v>46</v>
      </c>
      <c r="E13" s="38" t="n">
        <v>28</v>
      </c>
      <c r="F13" s="38" t="n">
        <v>3</v>
      </c>
      <c r="G13" s="38" t="s">
        <v>151</v>
      </c>
    </row>
    <row r="14" customFormat="false" ht="15" hidden="false" customHeight="true" outlineLevel="0" collapsed="false">
      <c r="A14" s="37" t="s">
        <v>48</v>
      </c>
      <c r="B14" s="37" t="s">
        <v>49</v>
      </c>
      <c r="C14" s="37" t="s">
        <v>47</v>
      </c>
      <c r="D14" s="37" t="s">
        <v>18</v>
      </c>
      <c r="E14" s="37" t="n">
        <v>3</v>
      </c>
      <c r="F14" s="37" t="n">
        <v>0</v>
      </c>
      <c r="G14" s="37" t="s">
        <v>151</v>
      </c>
    </row>
    <row r="15" customFormat="false" ht="15" hidden="false" customHeight="true" outlineLevel="0" collapsed="false">
      <c r="A15" s="38" t="s">
        <v>51</v>
      </c>
      <c r="B15" s="38" t="s">
        <v>52</v>
      </c>
      <c r="C15" s="38" t="s">
        <v>40</v>
      </c>
      <c r="D15" s="38" t="s">
        <v>27</v>
      </c>
      <c r="E15" s="38" t="n">
        <v>29</v>
      </c>
      <c r="F15" s="38" t="n">
        <v>2</v>
      </c>
      <c r="G15" s="38" t="s">
        <v>151</v>
      </c>
    </row>
    <row r="16" customFormat="false" ht="15" hidden="false" customHeight="true" outlineLevel="0" collapsed="false">
      <c r="A16" s="37" t="s">
        <v>54</v>
      </c>
      <c r="B16" s="37" t="s">
        <v>55</v>
      </c>
      <c r="C16" s="37" t="s">
        <v>19</v>
      </c>
      <c r="D16" s="37" t="s">
        <v>27</v>
      </c>
      <c r="E16" s="37" t="n">
        <v>13</v>
      </c>
      <c r="F16" s="37" t="n">
        <v>5</v>
      </c>
      <c r="G16" s="37" t="s">
        <v>151</v>
      </c>
    </row>
    <row r="17" customFormat="false" ht="15" hidden="false" customHeight="true" outlineLevel="0" collapsed="false">
      <c r="A17" s="38" t="s">
        <v>57</v>
      </c>
      <c r="B17" s="38" t="s">
        <v>58</v>
      </c>
      <c r="C17" s="38" t="s">
        <v>47</v>
      </c>
      <c r="D17" s="38" t="s">
        <v>27</v>
      </c>
      <c r="E17" s="38" t="n">
        <v>19</v>
      </c>
      <c r="F17" s="38" t="n">
        <v>13</v>
      </c>
      <c r="G17" s="38" t="s">
        <v>151</v>
      </c>
    </row>
    <row r="18" customFormat="false" ht="15" hidden="false" customHeight="true" outlineLevel="0" collapsed="false">
      <c r="A18" s="37" t="s">
        <v>60</v>
      </c>
      <c r="B18" s="37" t="s">
        <v>61</v>
      </c>
      <c r="C18" s="37" t="s">
        <v>47</v>
      </c>
      <c r="D18" s="37" t="s">
        <v>46</v>
      </c>
      <c r="E18" s="37" t="n">
        <v>22</v>
      </c>
      <c r="F18" s="37" t="n">
        <v>2</v>
      </c>
      <c r="G18" s="37" t="s">
        <v>151</v>
      </c>
    </row>
    <row r="19" customFormat="false" ht="15" hidden="false" customHeight="true" outlineLevel="0" collapsed="false">
      <c r="A19" s="38" t="s">
        <v>62</v>
      </c>
      <c r="B19" s="38" t="s">
        <v>63</v>
      </c>
      <c r="C19" s="38" t="s">
        <v>40</v>
      </c>
      <c r="D19" s="38" t="s">
        <v>27</v>
      </c>
      <c r="E19" s="38" t="n">
        <v>28</v>
      </c>
      <c r="F19" s="38" t="n">
        <v>5</v>
      </c>
      <c r="G19" s="38" t="s">
        <v>151</v>
      </c>
    </row>
    <row r="20" customFormat="false" ht="15" hidden="false" customHeight="true" outlineLevel="0" collapsed="false">
      <c r="A20" s="37" t="s">
        <v>64</v>
      </c>
      <c r="B20" s="37" t="s">
        <v>65</v>
      </c>
      <c r="C20" s="37" t="s">
        <v>28</v>
      </c>
      <c r="D20" s="37" t="s">
        <v>18</v>
      </c>
      <c r="E20" s="37" t="n">
        <v>8</v>
      </c>
      <c r="F20" s="37" t="n">
        <v>6</v>
      </c>
      <c r="G20" s="37" t="s">
        <v>151</v>
      </c>
    </row>
    <row r="21" customFormat="false" ht="15" hidden="false" customHeight="true" outlineLevel="0" collapsed="false">
      <c r="A21" s="38" t="s">
        <v>66</v>
      </c>
      <c r="B21" s="38" t="s">
        <v>67</v>
      </c>
      <c r="C21" s="38" t="s">
        <v>47</v>
      </c>
      <c r="D21" s="38" t="s">
        <v>36</v>
      </c>
      <c r="E21" s="38" t="n">
        <v>14</v>
      </c>
      <c r="F21" s="38" t="n">
        <v>1</v>
      </c>
      <c r="G21" s="38" t="s">
        <v>151</v>
      </c>
    </row>
    <row r="22" customFormat="false" ht="15" hidden="false" customHeight="true" outlineLevel="0" collapsed="false">
      <c r="A22" s="37" t="s">
        <v>68</v>
      </c>
      <c r="B22" s="37" t="s">
        <v>69</v>
      </c>
      <c r="C22" s="37" t="s">
        <v>28</v>
      </c>
      <c r="D22" s="37" t="s">
        <v>27</v>
      </c>
      <c r="E22" s="37" t="n">
        <v>25</v>
      </c>
      <c r="F22" s="37" t="n">
        <v>11</v>
      </c>
      <c r="G22" s="37" t="s">
        <v>151</v>
      </c>
    </row>
    <row r="23" customFormat="false" ht="15" hidden="false" customHeight="true" outlineLevel="0" collapsed="false">
      <c r="A23" s="38" t="s">
        <v>70</v>
      </c>
      <c r="B23" s="38" t="s">
        <v>71</v>
      </c>
      <c r="C23" s="38" t="s">
        <v>72</v>
      </c>
      <c r="D23" s="38" t="s">
        <v>36</v>
      </c>
      <c r="E23" s="38" t="n">
        <v>13</v>
      </c>
      <c r="F23" s="38" t="n">
        <v>14</v>
      </c>
      <c r="G23" s="38" t="s">
        <v>151</v>
      </c>
    </row>
    <row r="24" customFormat="false" ht="15" hidden="false" customHeight="true" outlineLevel="0" collapsed="false">
      <c r="A24" s="37" t="s">
        <v>73</v>
      </c>
      <c r="B24" s="37" t="s">
        <v>74</v>
      </c>
      <c r="C24" s="37" t="s">
        <v>40</v>
      </c>
      <c r="D24" s="37" t="s">
        <v>18</v>
      </c>
      <c r="E24" s="37" t="n">
        <v>26</v>
      </c>
      <c r="F24" s="37" t="n">
        <v>10</v>
      </c>
      <c r="G24" s="37" t="s">
        <v>151</v>
      </c>
    </row>
    <row r="25" customFormat="false" ht="15" hidden="false" customHeight="true" outlineLevel="0" collapsed="false">
      <c r="A25" s="38" t="s">
        <v>75</v>
      </c>
      <c r="B25" s="38" t="s">
        <v>76</v>
      </c>
      <c r="C25" s="38" t="s">
        <v>40</v>
      </c>
      <c r="D25" s="38" t="s">
        <v>36</v>
      </c>
      <c r="E25" s="38" t="n">
        <v>21</v>
      </c>
      <c r="F25" s="38" t="n">
        <v>6</v>
      </c>
      <c r="G25" s="38" t="s">
        <v>151</v>
      </c>
    </row>
    <row r="26" customFormat="false" ht="15" hidden="false" customHeight="true" outlineLevel="0" collapsed="false">
      <c r="A26" s="37" t="s">
        <v>78</v>
      </c>
      <c r="B26" s="37" t="s">
        <v>79</v>
      </c>
      <c r="C26" s="37" t="s">
        <v>40</v>
      </c>
      <c r="D26" s="37" t="s">
        <v>46</v>
      </c>
      <c r="E26" s="37" t="n">
        <v>19</v>
      </c>
      <c r="F26" s="37" t="n">
        <v>17</v>
      </c>
      <c r="G26" s="37" t="s">
        <v>151</v>
      </c>
    </row>
    <row r="27" customFormat="false" ht="15" hidden="false" customHeight="true" outlineLevel="0" collapsed="false">
      <c r="A27" s="39" t="s">
        <v>80</v>
      </c>
      <c r="B27" s="39" t="s">
        <v>81</v>
      </c>
      <c r="C27" s="39" t="s">
        <v>19</v>
      </c>
      <c r="D27" s="39" t="s">
        <v>46</v>
      </c>
      <c r="E27" s="39" t="n">
        <v>5</v>
      </c>
      <c r="F27" s="39" t="n">
        <v>9</v>
      </c>
      <c r="G27" s="39" t="s">
        <v>152</v>
      </c>
    </row>
    <row r="28" customFormat="false" ht="15" hidden="false" customHeight="true" outlineLevel="0" collapsed="false">
      <c r="A28" s="37" t="s">
        <v>82</v>
      </c>
      <c r="B28" s="37" t="s">
        <v>83</v>
      </c>
      <c r="C28" s="37" t="s">
        <v>72</v>
      </c>
      <c r="D28" s="37" t="s">
        <v>46</v>
      </c>
      <c r="E28" s="37" t="n">
        <v>18</v>
      </c>
      <c r="F28" s="37" t="n">
        <v>0</v>
      </c>
      <c r="G28" s="37" t="s">
        <v>151</v>
      </c>
    </row>
    <row r="29" customFormat="false" ht="15" hidden="false" customHeight="true" outlineLevel="0" collapsed="false">
      <c r="A29" s="39" t="s">
        <v>84</v>
      </c>
      <c r="B29" s="39" t="s">
        <v>85</v>
      </c>
      <c r="C29" s="39" t="s">
        <v>19</v>
      </c>
      <c r="D29" s="39" t="s">
        <v>27</v>
      </c>
      <c r="E29" s="39" t="n">
        <v>6</v>
      </c>
      <c r="F29" s="39" t="n">
        <v>9</v>
      </c>
      <c r="G29" s="39" t="s">
        <v>152</v>
      </c>
    </row>
    <row r="30" customFormat="false" ht="15" hidden="false" customHeight="true" outlineLevel="0" collapsed="false">
      <c r="A30" s="37" t="s">
        <v>86</v>
      </c>
      <c r="B30" s="37" t="s">
        <v>87</v>
      </c>
      <c r="C30" s="37" t="s">
        <v>40</v>
      </c>
      <c r="D30" s="37" t="s">
        <v>46</v>
      </c>
      <c r="E30" s="37" t="n">
        <v>17</v>
      </c>
      <c r="F30" s="37" t="n">
        <v>2</v>
      </c>
      <c r="G30" s="37" t="s">
        <v>151</v>
      </c>
    </row>
    <row r="31" customFormat="false" ht="15" hidden="false" customHeight="true" outlineLevel="0" collapsed="false">
      <c r="A31" s="38" t="s">
        <v>89</v>
      </c>
      <c r="B31" s="38" t="s">
        <v>90</v>
      </c>
      <c r="C31" s="38" t="s">
        <v>72</v>
      </c>
      <c r="D31" s="38" t="s">
        <v>27</v>
      </c>
      <c r="E31" s="38" t="n">
        <v>3</v>
      </c>
      <c r="F31" s="38" t="n">
        <v>0</v>
      </c>
      <c r="G31" s="38" t="s">
        <v>151</v>
      </c>
    </row>
    <row r="32" customFormat="false" ht="15" hidden="false" customHeight="true" outlineLevel="0" collapsed="false">
      <c r="A32" s="37" t="s">
        <v>91</v>
      </c>
      <c r="B32" s="37" t="s">
        <v>92</v>
      </c>
      <c r="C32" s="37" t="s">
        <v>40</v>
      </c>
      <c r="D32" s="37" t="s">
        <v>36</v>
      </c>
      <c r="E32" s="37" t="n">
        <v>28</v>
      </c>
      <c r="F32" s="37" t="n">
        <v>0</v>
      </c>
      <c r="G32" s="37" t="s">
        <v>151</v>
      </c>
    </row>
    <row r="33" customFormat="false" ht="15" hidden="false" customHeight="true" outlineLevel="0" collapsed="false">
      <c r="A33" s="38" t="s">
        <v>93</v>
      </c>
      <c r="B33" s="38" t="s">
        <v>94</v>
      </c>
      <c r="C33" s="38" t="s">
        <v>23</v>
      </c>
      <c r="D33" s="38" t="s">
        <v>27</v>
      </c>
      <c r="E33" s="38" t="n">
        <v>23</v>
      </c>
      <c r="F33" s="38" t="n">
        <v>1</v>
      </c>
      <c r="G33" s="38" t="s">
        <v>151</v>
      </c>
    </row>
    <row r="34" customFormat="false" ht="15" hidden="false" customHeight="true" outlineLevel="0" collapsed="false">
      <c r="A34" s="37" t="s">
        <v>95</v>
      </c>
      <c r="B34" s="37" t="s">
        <v>96</v>
      </c>
      <c r="C34" s="37" t="s">
        <v>28</v>
      </c>
      <c r="D34" s="37" t="s">
        <v>36</v>
      </c>
      <c r="E34" s="37" t="n">
        <v>8</v>
      </c>
      <c r="F34" s="37" t="n">
        <v>0</v>
      </c>
      <c r="G34" s="37" t="s">
        <v>151</v>
      </c>
    </row>
    <row r="35" customFormat="false" ht="15" hidden="false" customHeight="true" outlineLevel="0" collapsed="false">
      <c r="A35" s="38" t="s">
        <v>97</v>
      </c>
      <c r="B35" s="38" t="s">
        <v>98</v>
      </c>
      <c r="C35" s="38" t="s">
        <v>47</v>
      </c>
      <c r="D35" s="38" t="s">
        <v>36</v>
      </c>
      <c r="E35" s="38" t="n">
        <v>23</v>
      </c>
      <c r="F35" s="38" t="n">
        <v>2</v>
      </c>
      <c r="G35" s="38" t="s">
        <v>151</v>
      </c>
    </row>
    <row r="36" customFormat="false" ht="15" hidden="false" customHeight="true" outlineLevel="0" collapsed="false">
      <c r="A36" s="37" t="s">
        <v>100</v>
      </c>
      <c r="B36" s="37" t="s">
        <v>101</v>
      </c>
      <c r="C36" s="37" t="s">
        <v>72</v>
      </c>
      <c r="D36" s="37" t="s">
        <v>18</v>
      </c>
      <c r="E36" s="37" t="n">
        <v>9</v>
      </c>
      <c r="F36" s="37" t="n">
        <v>18</v>
      </c>
      <c r="G36" s="37" t="s">
        <v>151</v>
      </c>
    </row>
    <row r="37" customFormat="false" ht="15" hidden="false" customHeight="true" outlineLevel="0" collapsed="false">
      <c r="A37" s="39" t="s">
        <v>103</v>
      </c>
      <c r="B37" s="39" t="s">
        <v>104</v>
      </c>
      <c r="C37" s="39" t="s">
        <v>40</v>
      </c>
      <c r="D37" s="39" t="s">
        <v>27</v>
      </c>
      <c r="E37" s="39" t="n">
        <v>2</v>
      </c>
      <c r="F37" s="39" t="n">
        <v>7</v>
      </c>
      <c r="G37" s="39" t="s">
        <v>152</v>
      </c>
    </row>
    <row r="38" customFormat="false" ht="15" hidden="false" customHeight="true" outlineLevel="0" collapsed="false">
      <c r="A38" s="37" t="s">
        <v>105</v>
      </c>
      <c r="B38" s="37" t="s">
        <v>106</v>
      </c>
      <c r="C38" s="37" t="s">
        <v>40</v>
      </c>
      <c r="D38" s="37" t="s">
        <v>18</v>
      </c>
      <c r="E38" s="37" t="n">
        <v>30</v>
      </c>
      <c r="F38" s="37" t="n">
        <v>1</v>
      </c>
      <c r="G38" s="37" t="s">
        <v>151</v>
      </c>
    </row>
    <row r="39" customFormat="false" ht="15" hidden="false" customHeight="true" outlineLevel="0" collapsed="false">
      <c r="A39" s="38" t="s">
        <v>107</v>
      </c>
      <c r="B39" s="38" t="s">
        <v>108</v>
      </c>
      <c r="C39" s="38" t="s">
        <v>23</v>
      </c>
      <c r="D39" s="38" t="s">
        <v>46</v>
      </c>
      <c r="E39" s="38" t="n">
        <v>23</v>
      </c>
      <c r="F39" s="38" t="n">
        <v>4</v>
      </c>
      <c r="G39" s="38" t="s">
        <v>151</v>
      </c>
    </row>
    <row r="40" customFormat="false" ht="15" hidden="false" customHeight="true" outlineLevel="0" collapsed="false">
      <c r="A40" s="37" t="s">
        <v>110</v>
      </c>
      <c r="B40" s="37" t="s">
        <v>111</v>
      </c>
      <c r="C40" s="37" t="s">
        <v>23</v>
      </c>
      <c r="D40" s="37" t="s">
        <v>27</v>
      </c>
      <c r="E40" s="37" t="n">
        <v>27</v>
      </c>
      <c r="F40" s="37" t="n">
        <v>11</v>
      </c>
      <c r="G40" s="37" t="s">
        <v>151</v>
      </c>
    </row>
    <row r="42" customFormat="false" ht="15" hidden="false" customHeight="true" outlineLevel="0" collapsed="false">
      <c r="A42" s="40" t="s">
        <v>153</v>
      </c>
      <c r="B42" s="40"/>
      <c r="C42" s="40"/>
      <c r="D42" s="40"/>
      <c r="E42" s="40"/>
      <c r="F42" s="40"/>
      <c r="G42" s="40"/>
    </row>
  </sheetData>
  <mergeCells count="4">
    <mergeCell ref="A1:G1"/>
    <mergeCell ref="B2:G2"/>
    <mergeCell ref="B3:G3"/>
    <mergeCell ref="A42:G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5" min="4" style="1" width="18"/>
    <col collapsed="false" customWidth="true" hidden="false" outlineLevel="0" max="6" min="6" style="1" width="14"/>
    <col collapsed="false" customWidth="true" hidden="false" outlineLevel="0" max="7" min="7" style="1" width="16"/>
    <col collapsed="false" customWidth="true" hidden="false" outlineLevel="0" max="8" min="8" style="1" width="18"/>
    <col collapsed="false" customWidth="true" hidden="false" outlineLevel="0" max="10" min="9" style="1" width="16"/>
  </cols>
  <sheetData>
    <row r="1" customFormat="false" ht="34.5" hidden="false" customHeight="true" outlineLevel="0" collapsed="false">
      <c r="A1" s="41" t="s">
        <v>154</v>
      </c>
      <c r="B1" s="41"/>
      <c r="C1" s="41"/>
      <c r="D1" s="41"/>
      <c r="E1" s="41"/>
      <c r="F1" s="41"/>
      <c r="G1" s="41"/>
      <c r="H1" s="41"/>
      <c r="I1" s="41"/>
      <c r="J1" s="41"/>
    </row>
    <row r="2" customFormat="false" ht="15" hidden="false" customHeight="true" outlineLevel="0" collapsed="false">
      <c r="A2" s="42" t="s">
        <v>155</v>
      </c>
      <c r="B2" s="42"/>
      <c r="C2" s="42"/>
      <c r="D2" s="42"/>
      <c r="E2" s="42"/>
      <c r="F2" s="42"/>
      <c r="G2" s="42"/>
      <c r="H2" s="42"/>
      <c r="I2" s="42"/>
      <c r="J2" s="42"/>
    </row>
    <row r="3" customFormat="false" ht="7.5" hidden="false" customHeight="true" outlineLevel="0" collapsed="false"/>
    <row r="4" customFormat="false" ht="39" hidden="false" customHeight="true" outlineLevel="0" collapsed="false">
      <c r="A4" s="43" t="s">
        <v>9</v>
      </c>
      <c r="B4" s="43" t="s">
        <v>141</v>
      </c>
      <c r="C4" s="43" t="s">
        <v>12</v>
      </c>
      <c r="D4" s="43" t="s">
        <v>143</v>
      </c>
      <c r="E4" s="43" t="s">
        <v>127</v>
      </c>
      <c r="F4" s="43" t="s">
        <v>156</v>
      </c>
      <c r="G4" s="43" t="s">
        <v>126</v>
      </c>
    </row>
    <row r="5" customFormat="false" ht="15" hidden="false" customHeight="true" outlineLevel="0" collapsed="false">
      <c r="A5" s="16" t="s">
        <v>19</v>
      </c>
      <c r="B5" s="16" t="s">
        <v>18</v>
      </c>
      <c r="C5" s="16" t="s">
        <v>157</v>
      </c>
      <c r="D5" s="16" t="n">
        <v>1</v>
      </c>
      <c r="E5" s="18" t="n">
        <v>4800</v>
      </c>
      <c r="F5" s="18" t="n">
        <v>4800</v>
      </c>
      <c r="G5" s="18" t="n">
        <v>800</v>
      </c>
    </row>
    <row r="6" customFormat="false" ht="15" hidden="false" customHeight="true" outlineLevel="0" collapsed="false">
      <c r="A6" s="32" t="s">
        <v>19</v>
      </c>
      <c r="B6" s="32" t="s">
        <v>36</v>
      </c>
      <c r="C6" s="32" t="s">
        <v>157</v>
      </c>
      <c r="D6" s="32" t="n">
        <v>1</v>
      </c>
      <c r="E6" s="44" t="n">
        <v>17500</v>
      </c>
      <c r="F6" s="33" t="n">
        <v>17500</v>
      </c>
      <c r="G6" s="33" t="n">
        <v>2500</v>
      </c>
    </row>
    <row r="7" customFormat="false" ht="15" hidden="false" customHeight="true" outlineLevel="0" collapsed="false">
      <c r="A7" s="16" t="s">
        <v>19</v>
      </c>
      <c r="B7" s="16" t="s">
        <v>46</v>
      </c>
      <c r="C7" s="16" t="s">
        <v>158</v>
      </c>
      <c r="D7" s="16" t="n">
        <v>1</v>
      </c>
      <c r="E7" s="44" t="n">
        <v>16200</v>
      </c>
      <c r="F7" s="18" t="n">
        <v>16200</v>
      </c>
      <c r="G7" s="18" t="n">
        <v>1800</v>
      </c>
    </row>
    <row r="8" customFormat="false" ht="15" hidden="false" customHeight="true" outlineLevel="0" collapsed="false">
      <c r="A8" s="32" t="s">
        <v>19</v>
      </c>
      <c r="B8" s="32" t="s">
        <v>27</v>
      </c>
      <c r="C8" s="32" t="s">
        <v>158</v>
      </c>
      <c r="D8" s="32" t="n">
        <v>1</v>
      </c>
      <c r="E8" s="33" t="n">
        <v>10800</v>
      </c>
      <c r="F8" s="33" t="n">
        <v>10800</v>
      </c>
      <c r="G8" s="33" t="n">
        <v>1200</v>
      </c>
    </row>
    <row r="9" customFormat="false" ht="15" hidden="false" customHeight="true" outlineLevel="0" collapsed="false">
      <c r="A9" s="16" t="s">
        <v>19</v>
      </c>
      <c r="B9" s="16" t="s">
        <v>27</v>
      </c>
      <c r="C9" s="16" t="s">
        <v>157</v>
      </c>
      <c r="D9" s="16" t="n">
        <v>1</v>
      </c>
      <c r="E9" s="18" t="n">
        <v>6000</v>
      </c>
      <c r="F9" s="18" t="n">
        <v>6000</v>
      </c>
      <c r="G9" s="18" t="n">
        <v>1200</v>
      </c>
    </row>
    <row r="10" customFormat="false" ht="15" hidden="false" customHeight="true" outlineLevel="0" collapsed="false">
      <c r="A10" s="32" t="s">
        <v>72</v>
      </c>
      <c r="B10" s="32" t="s">
        <v>18</v>
      </c>
      <c r="C10" s="32" t="s">
        <v>157</v>
      </c>
      <c r="D10" s="32" t="n">
        <v>1</v>
      </c>
      <c r="E10" s="33" t="n">
        <v>14400</v>
      </c>
      <c r="F10" s="33" t="n">
        <v>14400</v>
      </c>
      <c r="G10" s="33" t="n">
        <v>800</v>
      </c>
    </row>
    <row r="11" customFormat="false" ht="15" hidden="false" customHeight="true" outlineLevel="0" collapsed="false">
      <c r="A11" s="16" t="s">
        <v>72</v>
      </c>
      <c r="B11" s="16" t="s">
        <v>36</v>
      </c>
      <c r="C11" s="16" t="s">
        <v>158</v>
      </c>
      <c r="D11" s="16" t="n">
        <v>1</v>
      </c>
      <c r="E11" s="44" t="n">
        <v>35000</v>
      </c>
      <c r="F11" s="18" t="n">
        <v>35000</v>
      </c>
      <c r="G11" s="18" t="n">
        <v>2500</v>
      </c>
    </row>
    <row r="12" customFormat="false" ht="15" hidden="false" customHeight="true" outlineLevel="0" collapsed="false">
      <c r="A12" s="32" t="s">
        <v>72</v>
      </c>
      <c r="B12" s="32" t="s">
        <v>46</v>
      </c>
      <c r="C12" s="32" t="s">
        <v>158</v>
      </c>
      <c r="D12" s="32" t="n">
        <v>1</v>
      </c>
      <c r="E12" s="44" t="n">
        <v>0</v>
      </c>
      <c r="F12" s="33" t="n">
        <v>0</v>
      </c>
      <c r="G12" s="33" t="n">
        <v>1800</v>
      </c>
    </row>
    <row r="13" customFormat="false" ht="15" hidden="false" customHeight="true" outlineLevel="0" collapsed="false">
      <c r="A13" s="16" t="s">
        <v>72</v>
      </c>
      <c r="B13" s="16" t="s">
        <v>27</v>
      </c>
      <c r="C13" s="16" t="s">
        <v>158</v>
      </c>
      <c r="D13" s="16" t="n">
        <v>1</v>
      </c>
      <c r="E13" s="18" t="n">
        <v>0</v>
      </c>
      <c r="F13" s="18" t="n">
        <v>0</v>
      </c>
      <c r="G13" s="18" t="n">
        <v>1200</v>
      </c>
    </row>
    <row r="14" customFormat="false" ht="15" hidden="false" customHeight="true" outlineLevel="0" collapsed="false">
      <c r="A14" s="32" t="s">
        <v>28</v>
      </c>
      <c r="B14" s="32" t="s">
        <v>18</v>
      </c>
      <c r="C14" s="32" t="s">
        <v>158</v>
      </c>
      <c r="D14" s="32" t="n">
        <v>1</v>
      </c>
      <c r="E14" s="33" t="n">
        <v>4800</v>
      </c>
      <c r="F14" s="33" t="n">
        <v>4800</v>
      </c>
      <c r="G14" s="33" t="n">
        <v>800</v>
      </c>
    </row>
    <row r="15" customFormat="false" ht="15" hidden="false" customHeight="true" outlineLevel="0" collapsed="false">
      <c r="A15" s="16" t="s">
        <v>28</v>
      </c>
      <c r="B15" s="16" t="s">
        <v>36</v>
      </c>
      <c r="C15" s="16" t="s">
        <v>158</v>
      </c>
      <c r="D15" s="16" t="n">
        <v>1</v>
      </c>
      <c r="E15" s="44" t="n">
        <v>0</v>
      </c>
      <c r="F15" s="18" t="n">
        <v>0</v>
      </c>
      <c r="G15" s="18" t="n">
        <v>2500</v>
      </c>
    </row>
    <row r="16" customFormat="false" ht="15" hidden="false" customHeight="true" outlineLevel="0" collapsed="false">
      <c r="A16" s="32" t="s">
        <v>28</v>
      </c>
      <c r="B16" s="32" t="s">
        <v>27</v>
      </c>
      <c r="C16" s="32" t="s">
        <v>158</v>
      </c>
      <c r="D16" s="32" t="n">
        <v>1</v>
      </c>
      <c r="E16" s="33" t="n">
        <v>13200</v>
      </c>
      <c r="F16" s="33" t="n">
        <v>13200</v>
      </c>
      <c r="G16" s="33" t="n">
        <v>1200</v>
      </c>
    </row>
    <row r="17" customFormat="false" ht="15" hidden="false" customHeight="true" outlineLevel="0" collapsed="false">
      <c r="A17" s="16" t="s">
        <v>28</v>
      </c>
      <c r="B17" s="16" t="s">
        <v>27</v>
      </c>
      <c r="C17" s="16" t="s">
        <v>157</v>
      </c>
      <c r="D17" s="16" t="n">
        <v>2</v>
      </c>
      <c r="E17" s="18" t="n">
        <v>10800</v>
      </c>
      <c r="F17" s="18" t="n">
        <v>5400</v>
      </c>
      <c r="G17" s="18" t="n">
        <v>1200</v>
      </c>
    </row>
    <row r="18" customFormat="false" ht="15" hidden="false" customHeight="true" outlineLevel="0" collapsed="false">
      <c r="A18" s="32" t="s">
        <v>47</v>
      </c>
      <c r="B18" s="32" t="s">
        <v>18</v>
      </c>
      <c r="C18" s="32" t="s">
        <v>157</v>
      </c>
      <c r="D18" s="32" t="n">
        <v>1</v>
      </c>
      <c r="E18" s="33" t="n">
        <v>0</v>
      </c>
      <c r="F18" s="33" t="n">
        <v>0</v>
      </c>
      <c r="G18" s="33" t="n">
        <v>800</v>
      </c>
    </row>
    <row r="19" customFormat="false" ht="15" hidden="false" customHeight="true" outlineLevel="0" collapsed="false">
      <c r="A19" s="16" t="s">
        <v>47</v>
      </c>
      <c r="B19" s="16" t="s">
        <v>36</v>
      </c>
      <c r="C19" s="16" t="s">
        <v>158</v>
      </c>
      <c r="D19" s="16" t="n">
        <v>1</v>
      </c>
      <c r="E19" s="44" t="n">
        <v>2500</v>
      </c>
      <c r="F19" s="18" t="n">
        <v>2500</v>
      </c>
      <c r="G19" s="18" t="n">
        <v>2500</v>
      </c>
    </row>
    <row r="20" customFormat="false" ht="15" hidden="false" customHeight="true" outlineLevel="0" collapsed="false">
      <c r="A20" s="32" t="s">
        <v>47</v>
      </c>
      <c r="B20" s="32" t="s">
        <v>36</v>
      </c>
      <c r="C20" s="32" t="s">
        <v>157</v>
      </c>
      <c r="D20" s="32" t="n">
        <v>1</v>
      </c>
      <c r="E20" s="44" t="n">
        <v>5000</v>
      </c>
      <c r="F20" s="33" t="n">
        <v>5000</v>
      </c>
      <c r="G20" s="33" t="n">
        <v>2500</v>
      </c>
    </row>
    <row r="21" customFormat="false" ht="15" hidden="false" customHeight="true" outlineLevel="0" collapsed="false">
      <c r="A21" s="16" t="s">
        <v>47</v>
      </c>
      <c r="B21" s="16" t="s">
        <v>46</v>
      </c>
      <c r="C21" s="16" t="s">
        <v>158</v>
      </c>
      <c r="D21" s="16" t="n">
        <v>2</v>
      </c>
      <c r="E21" s="44" t="n">
        <v>9000</v>
      </c>
      <c r="F21" s="18" t="n">
        <v>4500</v>
      </c>
      <c r="G21" s="18" t="n">
        <v>1800</v>
      </c>
    </row>
    <row r="22" customFormat="false" ht="15" hidden="false" customHeight="true" outlineLevel="0" collapsed="false">
      <c r="A22" s="32" t="s">
        <v>47</v>
      </c>
      <c r="B22" s="32" t="s">
        <v>27</v>
      </c>
      <c r="C22" s="32" t="s">
        <v>157</v>
      </c>
      <c r="D22" s="32" t="n">
        <v>1</v>
      </c>
      <c r="E22" s="33" t="n">
        <v>15600</v>
      </c>
      <c r="F22" s="33" t="n">
        <v>15600</v>
      </c>
      <c r="G22" s="33" t="n">
        <v>1200</v>
      </c>
    </row>
    <row r="23" customFormat="false" ht="15" hidden="false" customHeight="true" outlineLevel="0" collapsed="false">
      <c r="A23" s="16" t="s">
        <v>40</v>
      </c>
      <c r="B23" s="16" t="s">
        <v>18</v>
      </c>
      <c r="C23" s="16" t="s">
        <v>158</v>
      </c>
      <c r="D23" s="16" t="n">
        <v>2</v>
      </c>
      <c r="E23" s="18" t="n">
        <v>8800</v>
      </c>
      <c r="F23" s="18" t="n">
        <v>4400</v>
      </c>
      <c r="G23" s="18" t="n">
        <v>800</v>
      </c>
    </row>
    <row r="24" customFormat="false" ht="15" hidden="false" customHeight="true" outlineLevel="0" collapsed="false">
      <c r="A24" s="32" t="s">
        <v>40</v>
      </c>
      <c r="B24" s="32" t="s">
        <v>18</v>
      </c>
      <c r="C24" s="32" t="s">
        <v>157</v>
      </c>
      <c r="D24" s="32" t="n">
        <v>1</v>
      </c>
      <c r="E24" s="33" t="n">
        <v>1600</v>
      </c>
      <c r="F24" s="33" t="n">
        <v>1600</v>
      </c>
      <c r="G24" s="33" t="n">
        <v>800</v>
      </c>
    </row>
    <row r="25" customFormat="false" ht="15" hidden="false" customHeight="true" outlineLevel="0" collapsed="false">
      <c r="A25" s="16" t="s">
        <v>40</v>
      </c>
      <c r="B25" s="16" t="s">
        <v>36</v>
      </c>
      <c r="C25" s="16" t="s">
        <v>158</v>
      </c>
      <c r="D25" s="16" t="n">
        <v>1</v>
      </c>
      <c r="E25" s="44" t="n">
        <v>0</v>
      </c>
      <c r="F25" s="18" t="n">
        <v>0</v>
      </c>
      <c r="G25" s="18" t="n">
        <v>2500</v>
      </c>
    </row>
    <row r="26" customFormat="false" ht="15" hidden="false" customHeight="true" outlineLevel="0" collapsed="false">
      <c r="A26" s="32" t="s">
        <v>40</v>
      </c>
      <c r="B26" s="32" t="s">
        <v>36</v>
      </c>
      <c r="C26" s="32" t="s">
        <v>157</v>
      </c>
      <c r="D26" s="32" t="n">
        <v>1</v>
      </c>
      <c r="E26" s="44" t="n">
        <v>15000</v>
      </c>
      <c r="F26" s="33" t="n">
        <v>15000</v>
      </c>
      <c r="G26" s="33" t="n">
        <v>2500</v>
      </c>
    </row>
    <row r="27" customFormat="false" ht="15" hidden="false" customHeight="true" outlineLevel="0" collapsed="false">
      <c r="A27" s="16" t="s">
        <v>40</v>
      </c>
      <c r="B27" s="16" t="s">
        <v>46</v>
      </c>
      <c r="C27" s="16" t="s">
        <v>158</v>
      </c>
      <c r="D27" s="16" t="n">
        <v>1</v>
      </c>
      <c r="E27" s="44" t="n">
        <v>30600</v>
      </c>
      <c r="F27" s="18" t="n">
        <v>30600</v>
      </c>
      <c r="G27" s="18" t="n">
        <v>1800</v>
      </c>
    </row>
    <row r="28" customFormat="false" ht="15" hidden="false" customHeight="true" outlineLevel="0" collapsed="false">
      <c r="A28" s="32" t="s">
        <v>40</v>
      </c>
      <c r="B28" s="32" t="s">
        <v>46</v>
      </c>
      <c r="C28" s="32" t="s">
        <v>157</v>
      </c>
      <c r="D28" s="32" t="n">
        <v>1</v>
      </c>
      <c r="E28" s="44" t="n">
        <v>3600</v>
      </c>
      <c r="F28" s="33" t="n">
        <v>3600</v>
      </c>
      <c r="G28" s="33" t="n">
        <v>1800</v>
      </c>
    </row>
    <row r="29" customFormat="false" ht="15" hidden="false" customHeight="true" outlineLevel="0" collapsed="false">
      <c r="A29" s="16" t="s">
        <v>40</v>
      </c>
      <c r="B29" s="16" t="s">
        <v>27</v>
      </c>
      <c r="C29" s="16" t="s">
        <v>158</v>
      </c>
      <c r="D29" s="16" t="n">
        <v>2</v>
      </c>
      <c r="E29" s="18" t="n">
        <v>14400</v>
      </c>
      <c r="F29" s="18" t="n">
        <v>7200</v>
      </c>
      <c r="G29" s="18" t="n">
        <v>1200</v>
      </c>
    </row>
    <row r="30" customFormat="false" ht="15" hidden="false" customHeight="true" outlineLevel="0" collapsed="false">
      <c r="A30" s="32" t="s">
        <v>40</v>
      </c>
      <c r="B30" s="32" t="s">
        <v>27</v>
      </c>
      <c r="C30" s="32" t="s">
        <v>157</v>
      </c>
      <c r="D30" s="32" t="n">
        <v>1</v>
      </c>
      <c r="E30" s="33" t="n">
        <v>2400</v>
      </c>
      <c r="F30" s="33" t="n">
        <v>2400</v>
      </c>
      <c r="G30" s="33" t="n">
        <v>1200</v>
      </c>
    </row>
    <row r="31" customFormat="false" ht="15" hidden="false" customHeight="true" outlineLevel="0" collapsed="false">
      <c r="A31" s="16" t="s">
        <v>23</v>
      </c>
      <c r="B31" s="16" t="s">
        <v>18</v>
      </c>
      <c r="C31" s="16" t="s">
        <v>158</v>
      </c>
      <c r="D31" s="16" t="n">
        <v>1</v>
      </c>
      <c r="E31" s="18" t="n">
        <v>1600</v>
      </c>
      <c r="F31" s="18" t="n">
        <v>1600</v>
      </c>
      <c r="G31" s="18" t="n">
        <v>800</v>
      </c>
    </row>
    <row r="32" customFormat="false" ht="15" hidden="false" customHeight="true" outlineLevel="0" collapsed="false">
      <c r="A32" s="32" t="s">
        <v>23</v>
      </c>
      <c r="B32" s="32" t="s">
        <v>18</v>
      </c>
      <c r="C32" s="32" t="s">
        <v>157</v>
      </c>
      <c r="D32" s="32" t="n">
        <v>1</v>
      </c>
      <c r="E32" s="33" t="n">
        <v>0</v>
      </c>
      <c r="F32" s="33" t="n">
        <v>0</v>
      </c>
      <c r="G32" s="33" t="n">
        <v>800</v>
      </c>
    </row>
    <row r="33" customFormat="false" ht="15" hidden="false" customHeight="true" outlineLevel="0" collapsed="false">
      <c r="A33" s="16" t="s">
        <v>23</v>
      </c>
      <c r="B33" s="16" t="s">
        <v>46</v>
      </c>
      <c r="C33" s="16" t="s">
        <v>157</v>
      </c>
      <c r="D33" s="16" t="n">
        <v>1</v>
      </c>
      <c r="E33" s="44" t="n">
        <v>7200</v>
      </c>
      <c r="F33" s="18" t="n">
        <v>7200</v>
      </c>
      <c r="G33" s="18" t="n">
        <v>1800</v>
      </c>
    </row>
    <row r="34" customFormat="false" ht="15" hidden="false" customHeight="true" outlineLevel="0" collapsed="false">
      <c r="A34" s="32" t="s">
        <v>23</v>
      </c>
      <c r="B34" s="32" t="s">
        <v>27</v>
      </c>
      <c r="C34" s="32" t="s">
        <v>158</v>
      </c>
      <c r="D34" s="32" t="n">
        <v>2</v>
      </c>
      <c r="E34" s="33" t="n">
        <v>14400</v>
      </c>
      <c r="F34" s="33" t="n">
        <v>7200</v>
      </c>
      <c r="G34" s="33" t="n">
        <v>1200</v>
      </c>
    </row>
    <row r="36" customFormat="false" ht="15" hidden="false" customHeight="true" outlineLevel="0" collapsed="false">
      <c r="A36" s="45" t="s">
        <v>159</v>
      </c>
      <c r="B36" s="45"/>
      <c r="C36" s="45"/>
      <c r="D36" s="45"/>
      <c r="E36" s="45"/>
      <c r="F36" s="45"/>
      <c r="G36" s="45"/>
    </row>
    <row r="37" customFormat="false" ht="15" hidden="false" customHeight="true" outlineLevel="0" collapsed="false">
      <c r="A37" s="46" t="s">
        <v>160</v>
      </c>
      <c r="B37" s="46" t="s">
        <v>9</v>
      </c>
      <c r="C37" s="46" t="s">
        <v>141</v>
      </c>
      <c r="D37" s="46" t="s">
        <v>12</v>
      </c>
      <c r="E37" s="46" t="s">
        <v>127</v>
      </c>
      <c r="F37" s="46" t="s">
        <v>156</v>
      </c>
    </row>
    <row r="38" customFormat="false" ht="15" hidden="false" customHeight="true" outlineLevel="0" collapsed="false">
      <c r="A38" s="47" t="n">
        <v>1</v>
      </c>
      <c r="B38" s="47" t="s">
        <v>72</v>
      </c>
      <c r="C38" s="47" t="s">
        <v>36</v>
      </c>
      <c r="D38" s="47" t="s">
        <v>158</v>
      </c>
      <c r="E38" s="48" t="n">
        <v>35000</v>
      </c>
      <c r="F38" s="48" t="n">
        <v>35000</v>
      </c>
    </row>
    <row r="39" customFormat="false" ht="15" hidden="false" customHeight="true" outlineLevel="0" collapsed="false">
      <c r="A39" s="47" t="n">
        <v>2</v>
      </c>
      <c r="B39" s="47" t="s">
        <v>40</v>
      </c>
      <c r="C39" s="47" t="s">
        <v>46</v>
      </c>
      <c r="D39" s="47" t="s">
        <v>158</v>
      </c>
      <c r="E39" s="48" t="n">
        <v>30600</v>
      </c>
      <c r="F39" s="48" t="n">
        <v>30600</v>
      </c>
    </row>
    <row r="40" customFormat="false" ht="15" hidden="false" customHeight="true" outlineLevel="0" collapsed="false">
      <c r="A40" s="47" t="n">
        <v>3</v>
      </c>
      <c r="B40" s="47" t="s">
        <v>19</v>
      </c>
      <c r="C40" s="47" t="s">
        <v>36</v>
      </c>
      <c r="D40" s="47" t="s">
        <v>157</v>
      </c>
      <c r="E40" s="48" t="n">
        <v>17500</v>
      </c>
      <c r="F40" s="48" t="n">
        <v>17500</v>
      </c>
    </row>
    <row r="41" customFormat="false" ht="15" hidden="false" customHeight="true" outlineLevel="0" collapsed="false">
      <c r="A41" s="47" t="n">
        <v>4</v>
      </c>
      <c r="B41" s="47" t="s">
        <v>19</v>
      </c>
      <c r="C41" s="47" t="s">
        <v>46</v>
      </c>
      <c r="D41" s="47" t="s">
        <v>158</v>
      </c>
      <c r="E41" s="48" t="n">
        <v>16200</v>
      </c>
      <c r="F41" s="48" t="n">
        <v>16200</v>
      </c>
    </row>
    <row r="42" customFormat="false" ht="15" hidden="false" customHeight="true" outlineLevel="0" collapsed="false">
      <c r="A42" s="47" t="n">
        <v>5</v>
      </c>
      <c r="B42" s="47" t="s">
        <v>47</v>
      </c>
      <c r="C42" s="47" t="s">
        <v>27</v>
      </c>
      <c r="D42" s="47" t="s">
        <v>157</v>
      </c>
      <c r="E42" s="48" t="n">
        <v>15600</v>
      </c>
      <c r="F42" s="48" t="n">
        <v>15600</v>
      </c>
    </row>
    <row r="44" customFormat="false" ht="15" hidden="false" customHeight="true" outlineLevel="0" collapsed="false">
      <c r="A44" s="49" t="s">
        <v>161</v>
      </c>
      <c r="B44" s="49"/>
      <c r="C44" s="49"/>
      <c r="D44" s="49"/>
      <c r="E44" s="49"/>
      <c r="F44" s="49"/>
      <c r="G44" s="49"/>
      <c r="H44" s="49"/>
      <c r="I44" s="49"/>
      <c r="J44" s="49"/>
    </row>
    <row r="45" customFormat="false" ht="15" hidden="false" customHeight="true" outlineLevel="0" collapsed="false">
      <c r="A45" s="50" t="s">
        <v>162</v>
      </c>
      <c r="B45" s="51" t="s">
        <v>163</v>
      </c>
      <c r="C45" s="51"/>
      <c r="D45" s="51"/>
      <c r="E45" s="51"/>
      <c r="F45" s="51"/>
      <c r="G45" s="51"/>
      <c r="H45" s="51"/>
      <c r="I45" s="51"/>
      <c r="J45" s="51"/>
    </row>
    <row r="46" customFormat="false" ht="15" hidden="false" customHeight="true" outlineLevel="0" collapsed="false">
      <c r="A46" s="50" t="s">
        <v>164</v>
      </c>
      <c r="B46" s="52" t="s">
        <v>165</v>
      </c>
      <c r="C46" s="52"/>
      <c r="D46" s="52"/>
      <c r="E46" s="52"/>
      <c r="F46" s="52"/>
      <c r="G46" s="52"/>
      <c r="H46" s="52"/>
      <c r="I46" s="52"/>
      <c r="J46" s="52"/>
    </row>
    <row r="47" customFormat="false" ht="15" hidden="false" customHeight="true" outlineLevel="0" collapsed="false">
      <c r="A47" s="50" t="s">
        <v>166</v>
      </c>
      <c r="B47" s="51" t="s">
        <v>167</v>
      </c>
      <c r="C47" s="51"/>
      <c r="D47" s="51"/>
      <c r="E47" s="51"/>
      <c r="F47" s="51"/>
      <c r="G47" s="51"/>
      <c r="H47" s="51"/>
      <c r="I47" s="51"/>
      <c r="J47" s="51"/>
    </row>
    <row r="48" customFormat="false" ht="15" hidden="false" customHeight="true" outlineLevel="0" collapsed="false">
      <c r="A48" s="50" t="s">
        <v>168</v>
      </c>
      <c r="B48" s="52" t="s">
        <v>169</v>
      </c>
      <c r="C48" s="52"/>
      <c r="D48" s="52"/>
      <c r="E48" s="52"/>
      <c r="F48" s="52"/>
      <c r="G48" s="52"/>
      <c r="H48" s="52"/>
      <c r="I48" s="52"/>
      <c r="J48" s="52"/>
    </row>
  </sheetData>
  <mergeCells count="8">
    <mergeCell ref="A1:J1"/>
    <mergeCell ref="A2:J2"/>
    <mergeCell ref="A36:G36"/>
    <mergeCell ref="A44:J44"/>
    <mergeCell ref="B45:J45"/>
    <mergeCell ref="B46:J46"/>
    <mergeCell ref="B47:J47"/>
    <mergeCell ref="B48:J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4" min="2" style="1" width="12"/>
    <col collapsed="false" customWidth="true" hidden="false" outlineLevel="0" max="5" min="5" style="1" width="4"/>
    <col collapsed="false" customWidth="true" hidden="false" outlineLevel="0" max="6" min="6" style="1" width="18"/>
    <col collapsed="false" customWidth="true" hidden="false" outlineLevel="0" max="9" min="7" style="1" width="14"/>
  </cols>
  <sheetData>
    <row r="1" customFormat="false" ht="27.75" hidden="false" customHeight="true" outlineLevel="0" collapsed="false">
      <c r="A1" s="10" t="s">
        <v>170</v>
      </c>
      <c r="B1" s="10"/>
      <c r="C1" s="10"/>
      <c r="D1" s="10"/>
      <c r="E1" s="10"/>
      <c r="F1" s="10"/>
      <c r="G1" s="10"/>
      <c r="H1" s="10"/>
      <c r="I1" s="10"/>
    </row>
    <row r="3" customFormat="false" ht="15" hidden="false" customHeight="true" outlineLevel="0" collapsed="false">
      <c r="A3" s="29" t="s">
        <v>171</v>
      </c>
      <c r="B3" s="29"/>
      <c r="C3" s="29"/>
      <c r="D3" s="29"/>
    </row>
    <row r="4" customFormat="false" ht="15" hidden="false" customHeight="true" outlineLevel="0" collapsed="false">
      <c r="A4" s="53" t="s">
        <v>9</v>
      </c>
      <c r="B4" s="53" t="s">
        <v>32</v>
      </c>
      <c r="C4" s="53" t="s">
        <v>17</v>
      </c>
      <c r="D4" s="53" t="s">
        <v>172</v>
      </c>
    </row>
    <row r="5" customFormat="false" ht="15" hidden="false" customHeight="true" outlineLevel="0" collapsed="false">
      <c r="A5" s="54" t="s">
        <v>19</v>
      </c>
      <c r="B5" s="16" t="n">
        <v>3</v>
      </c>
      <c r="C5" s="16" t="n">
        <v>2</v>
      </c>
      <c r="D5" s="55" t="n">
        <v>5</v>
      </c>
    </row>
    <row r="6" customFormat="false" ht="15" hidden="false" customHeight="true" outlineLevel="0" collapsed="false">
      <c r="A6" s="56" t="s">
        <v>72</v>
      </c>
      <c r="B6" s="32" t="n">
        <v>3</v>
      </c>
      <c r="C6" s="32" t="n">
        <v>1</v>
      </c>
      <c r="D6" s="57" t="n">
        <v>4</v>
      </c>
    </row>
    <row r="7" customFormat="false" ht="15" hidden="false" customHeight="true" outlineLevel="0" collapsed="false">
      <c r="A7" s="54" t="s">
        <v>28</v>
      </c>
      <c r="B7" s="16" t="n">
        <v>3</v>
      </c>
      <c r="C7" s="16" t="n">
        <v>2</v>
      </c>
      <c r="D7" s="55" t="n">
        <v>5</v>
      </c>
    </row>
    <row r="8" customFormat="false" ht="15" hidden="false" customHeight="true" outlineLevel="0" collapsed="false">
      <c r="A8" s="56" t="s">
        <v>47</v>
      </c>
      <c r="B8" s="32" t="n">
        <v>2</v>
      </c>
      <c r="C8" s="32" t="n">
        <v>4</v>
      </c>
      <c r="D8" s="57" t="n">
        <v>6</v>
      </c>
    </row>
    <row r="9" customFormat="false" ht="15" hidden="false" customHeight="true" outlineLevel="0" collapsed="false">
      <c r="A9" s="54" t="s">
        <v>40</v>
      </c>
      <c r="B9" s="16" t="n">
        <v>2</v>
      </c>
      <c r="C9" s="16" t="n">
        <v>8</v>
      </c>
      <c r="D9" s="55" t="n">
        <v>10</v>
      </c>
    </row>
    <row r="10" customFormat="false" ht="15" hidden="false" customHeight="true" outlineLevel="0" collapsed="false">
      <c r="A10" s="56" t="s">
        <v>23</v>
      </c>
      <c r="B10" s="32" t="n">
        <v>2</v>
      </c>
      <c r="C10" s="32" t="n">
        <v>3</v>
      </c>
      <c r="D10" s="57" t="n">
        <v>5</v>
      </c>
    </row>
    <row r="11" customFormat="false" ht="15" hidden="false" customHeight="true" outlineLevel="0" collapsed="false">
      <c r="A11" s="58" t="s">
        <v>173</v>
      </c>
      <c r="B11" s="26" t="n">
        <v>15</v>
      </c>
      <c r="C11" s="26" t="n">
        <v>20</v>
      </c>
      <c r="D11" s="58" t="n">
        <v>35</v>
      </c>
    </row>
    <row r="14" customFormat="false" ht="15" hidden="false" customHeight="true" outlineLevel="0" collapsed="false">
      <c r="A14" s="59" t="s">
        <v>174</v>
      </c>
      <c r="B14" s="59"/>
      <c r="C14" s="59"/>
      <c r="D14" s="59"/>
      <c r="E14" s="59"/>
    </row>
    <row r="15" customFormat="false" ht="39" hidden="false" customHeight="true" outlineLevel="0" collapsed="false">
      <c r="A15" s="60" t="s">
        <v>175</v>
      </c>
      <c r="B15" s="60" t="s">
        <v>18</v>
      </c>
      <c r="C15" s="60" t="s">
        <v>36</v>
      </c>
      <c r="D15" s="60" t="s">
        <v>46</v>
      </c>
      <c r="E15" s="60" t="s">
        <v>27</v>
      </c>
      <c r="F15" s="61" t="s">
        <v>172</v>
      </c>
    </row>
    <row r="16" customFormat="false" ht="15" hidden="false" customHeight="true" outlineLevel="0" collapsed="false">
      <c r="A16" s="62" t="s">
        <v>176</v>
      </c>
      <c r="B16" s="63" t="n">
        <v>4</v>
      </c>
      <c r="C16" s="63" t="n">
        <v>2</v>
      </c>
      <c r="D16" s="63" t="n">
        <v>1</v>
      </c>
      <c r="E16" s="63" t="n">
        <v>6</v>
      </c>
      <c r="F16" s="64" t="n">
        <v>13</v>
      </c>
    </row>
    <row r="17" customFormat="false" ht="15" hidden="false" customHeight="true" outlineLevel="0" collapsed="false">
      <c r="A17" s="54" t="s">
        <v>177</v>
      </c>
      <c r="B17" s="16" t="n">
        <v>2</v>
      </c>
      <c r="C17" s="16" t="n">
        <v>1</v>
      </c>
      <c r="D17" s="16" t="n">
        <v>4</v>
      </c>
      <c r="E17" s="16" t="n">
        <v>2</v>
      </c>
      <c r="F17" s="65" t="n">
        <v>9</v>
      </c>
    </row>
    <row r="18" customFormat="false" ht="15" hidden="false" customHeight="true" outlineLevel="0" collapsed="false">
      <c r="A18" s="62" t="s">
        <v>178</v>
      </c>
      <c r="B18" s="63" t="n">
        <v>3</v>
      </c>
      <c r="C18" s="63" t="n">
        <v>4</v>
      </c>
      <c r="D18" s="63" t="n">
        <v>2</v>
      </c>
      <c r="E18" s="63" t="n">
        <v>4</v>
      </c>
      <c r="F18" s="64" t="n">
        <v>13</v>
      </c>
    </row>
    <row r="19" customFormat="false" ht="15" hidden="false" customHeight="true" outlineLevel="0" collapsed="false">
      <c r="A19" s="58" t="s">
        <v>173</v>
      </c>
      <c r="B19" s="26" t="n">
        <v>9</v>
      </c>
      <c r="C19" s="26" t="n">
        <v>7</v>
      </c>
      <c r="D19" s="26" t="n">
        <v>7</v>
      </c>
      <c r="E19" s="26" t="n">
        <v>12</v>
      </c>
      <c r="F19" s="11" t="n">
        <v>35</v>
      </c>
    </row>
    <row r="21" customFormat="false" ht="15" hidden="false" customHeight="true" outlineLevel="0" collapsed="false">
      <c r="A21" s="11" t="s">
        <v>179</v>
      </c>
      <c r="B21" s="66" t="s">
        <v>180</v>
      </c>
      <c r="C21" s="66"/>
      <c r="D21" s="66"/>
      <c r="E21" s="66"/>
      <c r="F21" s="66"/>
      <c r="G21" s="66"/>
      <c r="H21" s="66"/>
      <c r="I21" s="66"/>
    </row>
  </sheetData>
  <mergeCells count="4">
    <mergeCell ref="A1:I1"/>
    <mergeCell ref="A3:D3"/>
    <mergeCell ref="A14:E14"/>
    <mergeCell ref="B21:I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45"/>
    <col collapsed="false" customWidth="true" hidden="false" outlineLevel="0" max="3" min="3" style="1" width="35"/>
  </cols>
  <sheetData>
    <row r="1" customFormat="false" ht="27.75" hidden="false" customHeight="true" outlineLevel="0" collapsed="false">
      <c r="A1" s="67" t="s">
        <v>181</v>
      </c>
      <c r="B1" s="67"/>
      <c r="C1" s="67"/>
    </row>
    <row r="2" customFormat="false" ht="21.75" hidden="false" customHeight="true" outlineLevel="0" collapsed="false">
      <c r="A2" s="68" t="s">
        <v>182</v>
      </c>
      <c r="B2" s="68" t="s">
        <v>183</v>
      </c>
      <c r="C2" s="68" t="s">
        <v>184</v>
      </c>
    </row>
    <row r="3" customFormat="false" ht="21.75" hidden="false" customHeight="true" outlineLevel="0" collapsed="false">
      <c r="A3" s="69" t="s">
        <v>185</v>
      </c>
      <c r="B3" s="70" t="n">
        <f aca="false">INT((G2-F2)/30)</f>
        <v>0</v>
      </c>
      <c r="C3" s="71" t="s">
        <v>186</v>
      </c>
    </row>
    <row r="4" customFormat="false" ht="21.75" hidden="false" customHeight="true" outlineLevel="0" collapsed="false">
      <c r="A4" s="72" t="s">
        <v>187</v>
      </c>
      <c r="B4" s="73" t="str">
        <f aca="false">IF(K2&lt;&gt;"","Yes","No")</f>
        <v>No</v>
      </c>
      <c r="C4" s="74" t="s">
        <v>188</v>
      </c>
    </row>
    <row r="5" customFormat="false" ht="21.75" hidden="false" customHeight="true" outlineLevel="0" collapsed="false">
      <c r="A5" s="69" t="s">
        <v>189</v>
      </c>
      <c r="B5" s="70" t="n">
        <f aca="false">H2*L2</f>
        <v>0</v>
      </c>
      <c r="C5" s="71" t="s">
        <v>190</v>
      </c>
    </row>
    <row r="6" customFormat="false" ht="21.75" hidden="false" customHeight="true" outlineLevel="0" collapsed="false">
      <c r="A6" s="72" t="s">
        <v>191</v>
      </c>
      <c r="B6" s="73" t="n">
        <f aca="false">SUMIF(E2:E36,"Premium",N2:N36)</f>
        <v>0</v>
      </c>
      <c r="C6" s="74" t="s">
        <v>192</v>
      </c>
    </row>
    <row r="7" customFormat="false" ht="21.75" hidden="false" customHeight="true" outlineLevel="0" collapsed="false">
      <c r="A7" s="69" t="s">
        <v>193</v>
      </c>
      <c r="B7" s="70" t="n">
        <f aca="false">SUMIF(E2:E36,"Family",N2:N36)</f>
        <v>0</v>
      </c>
      <c r="C7" s="71" t="s">
        <v>194</v>
      </c>
    </row>
    <row r="8" customFormat="false" ht="21.75" hidden="false" customHeight="true" outlineLevel="0" collapsed="false">
      <c r="A8" s="72" t="s">
        <v>195</v>
      </c>
      <c r="B8" s="75" t="b">
        <f aca="false">AND(I2&lt;8,L2&gt;=6)</f>
        <v>0</v>
      </c>
      <c r="C8" s="74" t="s">
        <v>196</v>
      </c>
    </row>
    <row r="9" customFormat="false" ht="21.75" hidden="false" customHeight="true" outlineLevel="0" collapsed="false">
      <c r="A9" s="69" t="s">
        <v>197</v>
      </c>
      <c r="B9" s="70" t="str">
        <f aca="false">IF(C2&lt;=30,"Youth",IF(C2&lt;=45,"Adults","Seniors"))</f>
        <v>Seniors</v>
      </c>
      <c r="C9" s="71" t="s">
        <v>198</v>
      </c>
    </row>
    <row r="10" customFormat="false" ht="21.75" hidden="false" customHeight="true" outlineLevel="0" collapsed="false">
      <c r="A10" s="72" t="s">
        <v>199</v>
      </c>
      <c r="B10" s="73" t="s">
        <v>200</v>
      </c>
      <c r="C10" s="74" t="s">
        <v>201</v>
      </c>
    </row>
    <row r="11" customFormat="false" ht="21.75" hidden="false" customHeight="true" outlineLevel="0" collapsed="false">
      <c r="A11" s="69" t="s">
        <v>202</v>
      </c>
      <c r="B11" s="70" t="n">
        <f aca="false">COUNTIF(J2:J36,"Mumbai")</f>
        <v>0</v>
      </c>
      <c r="C11" s="71" t="s">
        <v>203</v>
      </c>
    </row>
    <row r="12" customFormat="false" ht="21.75" hidden="false" customHeight="true" outlineLevel="0" collapsed="false">
      <c r="A12" s="72" t="s">
        <v>204</v>
      </c>
      <c r="B12" s="73" t="n">
        <f aca="false">MAX(I2:I36)</f>
        <v>0</v>
      </c>
      <c r="C12" s="74" t="s">
        <v>205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2026-04-07T08:12:41Z</dcterms:created>
  <dc:creator>openpyxl</dc:creator>
  <dc:description/>
  <dc:language>en-US</dc:language>
  <cp:lastModifiedBy/>
  <dcterms:modified xsi:type="dcterms:W3CDTF">2026-04-07T08:13:12Z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